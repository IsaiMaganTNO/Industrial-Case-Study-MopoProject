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Z:\Project\E555230_MOPO\WP5.3\"/>
    </mc:Choice>
  </mc:AlternateContent>
  <xr:revisionPtr revIDLastSave="16" documentId="13_ncr:1_{F7179B63-9C0C-484C-88D8-4D67F3716F0E}" xr6:coauthVersionLast="47" xr6:coauthVersionMax="47" xr10:uidLastSave="{65218A67-D67E-44BC-BC35-886770606ED5}"/>
  <bookViews>
    <workbookView xWindow="-110" yWindow="-110" windowWidth="19420" windowHeight="10420" firstSheet="2" activeTab="2" xr2:uid="{FECAAD58-8818-430E-A154-DE090193E0B7}"/>
  </bookViews>
  <sheets>
    <sheet name="Info" sheetId="7" r:id="rId1"/>
    <sheet name="Onshore_storage_potentials" sheetId="3" r:id="rId2"/>
    <sheet name="Offshore_storage_potentials" sheetId="2" r:id="rId3"/>
    <sheet name="Storage_projects" sheetId="1" r:id="rId4"/>
    <sheet name="Totals" sheetId="8" r:id="rId5"/>
    <sheet name="offshore_nodes" sheetId="9" r:id="rId6"/>
  </sheets>
  <definedNames>
    <definedName name="_xlnm._FilterDatabase" localSheetId="5" hidden="1">offshore_nodes!$A$1:$C$20</definedName>
    <definedName name="_xlnm._FilterDatabase" localSheetId="2" hidden="1">Offshore_storage_potentials!$A$1:$H$58</definedName>
    <definedName name="_xlnm._FilterDatabase" localSheetId="1" hidden="1">Onshore_storage_potentials!$A$1:$F$16</definedName>
    <definedName name="_xlnm._FilterDatabase" localSheetId="3" hidden="1">Storage_projects!$A$8:$Y$55</definedName>
    <definedName name="offshore_region">Storage_projects!$D$9:$D$100</definedName>
    <definedName name="onshore_nuts1">Storage_projects!$E$9:$E$100</definedName>
    <definedName name="onshore_or_offshore">Storage_projects!$I$9:$I$100</definedName>
    <definedName name="operational_category_high">Storage_projects!$C$9:$C$100</definedName>
    <definedName name="operational_category_low">Storage_projects!$A$9:$A$100</definedName>
    <definedName name="operational_category_medium">Storage_projects!$B$9:$B$100</definedName>
    <definedName name="storage_capacity_2030">Storage_projects!$Q$9:$Q$100</definedName>
    <definedName name="storage_capacity_2040">Storage_projects!$W$9:$W$100</definedName>
    <definedName name="storage_capacity_2050">Storage_projects!$X$9:$X$100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2" l="1"/>
  <c r="B11" i="2"/>
  <c r="B13" i="2"/>
  <c r="B6" i="2"/>
  <c r="B14" i="2"/>
  <c r="B15" i="2"/>
  <c r="B5" i="2"/>
  <c r="B2" i="2"/>
  <c r="B3" i="2"/>
  <c r="B8" i="2"/>
  <c r="B9" i="2"/>
  <c r="B12" i="2"/>
  <c r="B16" i="2"/>
  <c r="B17" i="2"/>
  <c r="B18" i="2"/>
  <c r="B19" i="2"/>
  <c r="B20" i="2"/>
  <c r="B4" i="2"/>
  <c r="B7" i="2"/>
  <c r="B29" i="2"/>
  <c r="B30" i="2"/>
  <c r="B32" i="2"/>
  <c r="B25" i="2"/>
  <c r="B33" i="2"/>
  <c r="B34" i="2"/>
  <c r="B24" i="2"/>
  <c r="B21" i="2"/>
  <c r="B22" i="2"/>
  <c r="B27" i="2"/>
  <c r="B28" i="2"/>
  <c r="B31" i="2"/>
  <c r="B35" i="2"/>
  <c r="B36" i="2"/>
  <c r="B37" i="2"/>
  <c r="B38" i="2"/>
  <c r="B39" i="2"/>
  <c r="B23" i="2"/>
  <c r="B26" i="2"/>
  <c r="B48" i="2"/>
  <c r="B49" i="2"/>
  <c r="B51" i="2"/>
  <c r="B44" i="2"/>
  <c r="B52" i="2"/>
  <c r="B53" i="2"/>
  <c r="B43" i="2"/>
  <c r="B40" i="2"/>
  <c r="B41" i="2"/>
  <c r="B46" i="2"/>
  <c r="B47" i="2"/>
  <c r="B50" i="2"/>
  <c r="B54" i="2"/>
  <c r="B55" i="2"/>
  <c r="B56" i="2"/>
  <c r="B57" i="2"/>
  <c r="B58" i="2"/>
  <c r="B42" i="2"/>
  <c r="B45" i="2"/>
  <c r="A11" i="2"/>
  <c r="A13" i="2"/>
  <c r="A6" i="2"/>
  <c r="A14" i="2"/>
  <c r="A15" i="2"/>
  <c r="A5" i="2"/>
  <c r="A2" i="2"/>
  <c r="A3" i="2"/>
  <c r="A8" i="2"/>
  <c r="A9" i="2"/>
  <c r="A12" i="2"/>
  <c r="A16" i="2"/>
  <c r="A17" i="2"/>
  <c r="A18" i="2"/>
  <c r="A19" i="2"/>
  <c r="A20" i="2"/>
  <c r="A4" i="2"/>
  <c r="A7" i="2"/>
  <c r="A29" i="2"/>
  <c r="A30" i="2"/>
  <c r="A32" i="2"/>
  <c r="A25" i="2"/>
  <c r="A33" i="2"/>
  <c r="A34" i="2"/>
  <c r="A24" i="2"/>
  <c r="A21" i="2"/>
  <c r="A22" i="2"/>
  <c r="A27" i="2"/>
  <c r="A28" i="2"/>
  <c r="A31" i="2"/>
  <c r="A35" i="2"/>
  <c r="A36" i="2"/>
  <c r="A37" i="2"/>
  <c r="A38" i="2"/>
  <c r="A39" i="2"/>
  <c r="A23" i="2"/>
  <c r="A26" i="2"/>
  <c r="A48" i="2"/>
  <c r="A49" i="2"/>
  <c r="A51" i="2"/>
  <c r="A44" i="2"/>
  <c r="A52" i="2"/>
  <c r="A53" i="2"/>
  <c r="A43" i="2"/>
  <c r="A40" i="2"/>
  <c r="A41" i="2"/>
  <c r="A46" i="2"/>
  <c r="A47" i="2"/>
  <c r="A50" i="2"/>
  <c r="A54" i="2"/>
  <c r="A55" i="2"/>
  <c r="A56" i="2"/>
  <c r="A57" i="2"/>
  <c r="A58" i="2"/>
  <c r="A42" i="2"/>
  <c r="A45" i="2"/>
  <c r="A10" i="2"/>
  <c r="B10" i="2"/>
  <c r="D5" i="3"/>
  <c r="E6" i="2"/>
  <c r="E11" i="2"/>
  <c r="C2" i="3"/>
  <c r="E10" i="2"/>
  <c r="E13" i="2"/>
  <c r="E14" i="2"/>
  <c r="E15" i="2"/>
  <c r="E5" i="2"/>
  <c r="E3" i="2"/>
  <c r="E8" i="2"/>
  <c r="E9" i="2"/>
  <c r="E12" i="2"/>
  <c r="E16" i="2"/>
  <c r="E17" i="2"/>
  <c r="E18" i="2"/>
  <c r="E19" i="2"/>
  <c r="E20" i="2"/>
  <c r="E4" i="2"/>
  <c r="E7" i="2"/>
  <c r="E29" i="2"/>
  <c r="E30" i="2"/>
  <c r="E32" i="2"/>
  <c r="E25" i="2"/>
  <c r="E33" i="2"/>
  <c r="E34" i="2"/>
  <c r="E24" i="2"/>
  <c r="E21" i="2"/>
  <c r="E22" i="2"/>
  <c r="E27" i="2"/>
  <c r="E28" i="2"/>
  <c r="E31" i="2"/>
  <c r="E35" i="2"/>
  <c r="E36" i="2"/>
  <c r="E37" i="2"/>
  <c r="E38" i="2"/>
  <c r="E39" i="2"/>
  <c r="E23" i="2"/>
  <c r="E26" i="2"/>
  <c r="E48" i="2"/>
  <c r="E51" i="2"/>
  <c r="E52" i="2"/>
  <c r="E53" i="2"/>
  <c r="E43" i="2"/>
  <c r="E40" i="2"/>
  <c r="E41" i="2"/>
  <c r="E46" i="2"/>
  <c r="E47" i="2"/>
  <c r="E54" i="2"/>
  <c r="E57" i="2"/>
  <c r="E58" i="2"/>
  <c r="E42" i="2"/>
  <c r="E45" i="2"/>
  <c r="D3" i="3"/>
  <c r="D4" i="3"/>
  <c r="D6" i="3"/>
  <c r="D7" i="3"/>
  <c r="D8" i="3"/>
  <c r="D9" i="3"/>
  <c r="D10" i="3"/>
  <c r="D11" i="3"/>
  <c r="D2" i="3"/>
  <c r="C3" i="3"/>
  <c r="C4" i="3"/>
  <c r="C5" i="3"/>
  <c r="C6" i="3"/>
  <c r="C7" i="3"/>
  <c r="C8" i="3"/>
  <c r="C9" i="3"/>
  <c r="C10" i="3"/>
  <c r="C11" i="3"/>
  <c r="C12" i="3"/>
  <c r="C13" i="3"/>
  <c r="C14" i="3"/>
  <c r="C15" i="3"/>
  <c r="C16" i="3"/>
  <c r="E2" i="3"/>
  <c r="E3" i="3"/>
  <c r="E4" i="3"/>
  <c r="E5" i="3"/>
  <c r="E6" i="3"/>
  <c r="E7" i="3"/>
  <c r="E8" i="3"/>
  <c r="E9" i="3"/>
  <c r="E10" i="3"/>
  <c r="E11" i="3"/>
  <c r="E12" i="3"/>
  <c r="E13" i="3"/>
  <c r="E14" i="3"/>
  <c r="E15" i="3"/>
  <c r="E16" i="3"/>
  <c r="B3" i="8"/>
  <c r="B4" i="8"/>
  <c r="C19" i="1"/>
  <c r="C18" i="1"/>
  <c r="B10" i="1"/>
  <c r="B11" i="1"/>
  <c r="C11" i="1" s="1"/>
  <c r="B12" i="1"/>
  <c r="B13" i="1"/>
  <c r="B14" i="1"/>
  <c r="B15" i="1"/>
  <c r="B16" i="1"/>
  <c r="B17" i="1"/>
  <c r="B9" i="1"/>
  <c r="X10" i="1"/>
  <c r="X11" i="1"/>
  <c r="X12" i="1"/>
  <c r="X13" i="1"/>
  <c r="X14" i="1"/>
  <c r="X15" i="1"/>
  <c r="X16" i="1"/>
  <c r="X17" i="1"/>
  <c r="X18" i="1"/>
  <c r="X19" i="1"/>
  <c r="X20" i="1"/>
  <c r="X21" i="1"/>
  <c r="X22" i="1"/>
  <c r="X23" i="1"/>
  <c r="E55" i="2" s="1"/>
  <c r="X24" i="1"/>
  <c r="X25" i="1"/>
  <c r="E56" i="2" s="1"/>
  <c r="X26" i="1"/>
  <c r="X27" i="1"/>
  <c r="X28" i="1"/>
  <c r="X29" i="1"/>
  <c r="E50" i="2" s="1"/>
  <c r="X30" i="1"/>
  <c r="E49" i="2" s="1"/>
  <c r="X31" i="1"/>
  <c r="E44" i="2" s="1"/>
  <c r="X32" i="1"/>
  <c r="X33" i="1"/>
  <c r="X34" i="1"/>
  <c r="X35" i="1"/>
  <c r="X36" i="1"/>
  <c r="D13" i="3" s="1"/>
  <c r="X37" i="1"/>
  <c r="D16" i="3" s="1"/>
  <c r="X38" i="1"/>
  <c r="D15" i="3" s="1"/>
  <c r="X39" i="1"/>
  <c r="D14" i="3" s="1"/>
  <c r="X40" i="1"/>
  <c r="X41" i="1"/>
  <c r="X42" i="1"/>
  <c r="X43" i="1"/>
  <c r="X44" i="1"/>
  <c r="X45" i="1"/>
  <c r="X46" i="1"/>
  <c r="X48" i="1"/>
  <c r="X49" i="1"/>
  <c r="X50" i="1"/>
  <c r="X51" i="1"/>
  <c r="X52" i="1"/>
  <c r="X53" i="1"/>
  <c r="X54" i="1"/>
  <c r="X9" i="1"/>
  <c r="B5" i="8" s="1"/>
  <c r="E5" i="8" s="1"/>
  <c r="W47" i="1"/>
  <c r="X47" i="1" s="1"/>
  <c r="B8" i="8" l="1"/>
  <c r="E8" i="8" s="1"/>
  <c r="B9" i="8"/>
  <c r="E9" i="8" s="1"/>
  <c r="D12" i="3"/>
  <c r="F11" i="2"/>
  <c r="F13" i="2"/>
  <c r="F6" i="2"/>
  <c r="F14" i="2"/>
  <c r="F15" i="2"/>
  <c r="F5" i="2"/>
  <c r="F2" i="2"/>
  <c r="F3" i="2"/>
  <c r="F8" i="2"/>
  <c r="F9" i="2"/>
  <c r="F12" i="2"/>
  <c r="F16" i="2"/>
  <c r="F17" i="2"/>
  <c r="F18" i="2"/>
  <c r="F19" i="2"/>
  <c r="F20" i="2"/>
  <c r="F4" i="2"/>
  <c r="F7" i="2"/>
  <c r="F29" i="2"/>
  <c r="F30" i="2"/>
  <c r="F32" i="2"/>
  <c r="F25" i="2"/>
  <c r="F33" i="2"/>
  <c r="F34" i="2"/>
  <c r="F24" i="2"/>
  <c r="F21" i="2"/>
  <c r="F22" i="2"/>
  <c r="F27" i="2"/>
  <c r="F28" i="2"/>
  <c r="F31" i="2"/>
  <c r="F35" i="2"/>
  <c r="F36" i="2"/>
  <c r="F37" i="2"/>
  <c r="F38" i="2"/>
  <c r="F39" i="2"/>
  <c r="F23" i="2"/>
  <c r="F26" i="2"/>
  <c r="F48" i="2"/>
  <c r="F49" i="2"/>
  <c r="F51" i="2"/>
  <c r="F44" i="2"/>
  <c r="F52" i="2"/>
  <c r="F53" i="2"/>
  <c r="F43" i="2"/>
  <c r="F40" i="2"/>
  <c r="F41" i="2"/>
  <c r="F46" i="2"/>
  <c r="F47" i="2"/>
  <c r="F50" i="2"/>
  <c r="F54" i="2"/>
  <c r="F55" i="2"/>
  <c r="F56" i="2"/>
  <c r="F57" i="2"/>
  <c r="F58" i="2"/>
  <c r="F42" i="2"/>
  <c r="F45" i="2"/>
  <c r="F10" i="2"/>
  <c r="C8" i="8" s="1"/>
  <c r="B10" i="8"/>
  <c r="E10" i="8" s="1"/>
  <c r="C10" i="8"/>
  <c r="C12" i="1"/>
  <c r="C13" i="1"/>
  <c r="C14" i="1"/>
  <c r="C15" i="1"/>
  <c r="C16" i="1"/>
  <c r="C17" i="1"/>
  <c r="C10" i="1"/>
  <c r="C3" i="8"/>
  <c r="C4" i="8"/>
  <c r="C5" i="8"/>
  <c r="F5" i="8" s="1"/>
  <c r="E3" i="8"/>
  <c r="E4" i="8"/>
  <c r="F3" i="8"/>
  <c r="F4" i="8"/>
  <c r="C9" i="1"/>
  <c r="C9" i="8" l="1"/>
  <c r="F9" i="8" s="1"/>
  <c r="F8" i="8"/>
  <c r="F10" i="8"/>
  <c r="G11" i="2"/>
  <c r="G13" i="2"/>
  <c r="G6" i="2"/>
  <c r="G14" i="2"/>
  <c r="G15" i="2"/>
  <c r="G5" i="2"/>
  <c r="G2" i="2"/>
  <c r="G3" i="2"/>
  <c r="G8" i="2"/>
  <c r="G9" i="2"/>
  <c r="G12" i="2"/>
  <c r="G16" i="2"/>
  <c r="G17" i="2"/>
  <c r="G18" i="2"/>
  <c r="G19" i="2"/>
  <c r="G20" i="2"/>
  <c r="G4" i="2"/>
  <c r="G7" i="2"/>
  <c r="G29" i="2"/>
  <c r="G30" i="2"/>
  <c r="G32" i="2"/>
  <c r="G25" i="2"/>
  <c r="G33" i="2"/>
  <c r="G34" i="2"/>
  <c r="G24" i="2"/>
  <c r="G21" i="2"/>
  <c r="G22" i="2"/>
  <c r="G27" i="2"/>
  <c r="G28" i="2"/>
  <c r="G31" i="2"/>
  <c r="G35" i="2"/>
  <c r="G36" i="2"/>
  <c r="G37" i="2"/>
  <c r="G38" i="2"/>
  <c r="G39" i="2"/>
  <c r="G23" i="2"/>
  <c r="G26" i="2"/>
  <c r="G48" i="2"/>
  <c r="G49" i="2"/>
  <c r="G51" i="2"/>
  <c r="G44" i="2"/>
  <c r="G52" i="2"/>
  <c r="G53" i="2"/>
  <c r="G43" i="2"/>
  <c r="G40" i="2"/>
  <c r="G41" i="2"/>
  <c r="G46" i="2"/>
  <c r="G47" i="2"/>
  <c r="G50" i="2"/>
  <c r="G54" i="2"/>
  <c r="G55" i="2"/>
  <c r="G56" i="2"/>
  <c r="G57" i="2"/>
  <c r="G58" i="2"/>
  <c r="G42" i="2"/>
  <c r="G45" i="2"/>
  <c r="G10" i="2"/>
  <c r="D8" i="8" s="1"/>
  <c r="D3" i="8"/>
  <c r="D4" i="8"/>
  <c r="D5" i="8"/>
  <c r="G5" i="8" s="1"/>
  <c r="D9" i="8" l="1"/>
  <c r="G9" i="8" s="1"/>
  <c r="D10" i="8"/>
  <c r="G10" i="8" s="1"/>
  <c r="G8" i="8"/>
  <c r="G3" i="8"/>
  <c r="G4" i="8"/>
</calcChain>
</file>

<file path=xl/sharedStrings.xml><?xml version="1.0" encoding="utf-8"?>
<sst xmlns="http://schemas.openxmlformats.org/spreadsheetml/2006/main" count="595" uniqueCount="185">
  <si>
    <t>Date</t>
  </si>
  <si>
    <t>Project</t>
  </si>
  <si>
    <t>Mopo</t>
  </si>
  <si>
    <t>Name</t>
  </si>
  <si>
    <t>Marit van Hout</t>
  </si>
  <si>
    <t>Organisation</t>
  </si>
  <si>
    <t>PBL</t>
  </si>
  <si>
    <t>Content</t>
  </si>
  <si>
    <r>
      <t xml:space="preserve">This document contains storage projects in Europe mentioned by JRC (2024) and CATF (2023) (capacity + expected year of operation), where JRC 2024 provides more conservative figures. These datasets are complemented by expert judgment on when these storage facilities are available assuming a </t>
    </r>
    <r>
      <rPr>
        <b/>
        <sz val="11"/>
        <color theme="1"/>
        <rFont val="Aptos Narrow"/>
        <family val="2"/>
        <scheme val="minor"/>
      </rPr>
      <t>low</t>
    </r>
    <r>
      <rPr>
        <sz val="11"/>
        <color theme="1"/>
        <rFont val="Aptos Narrow"/>
        <family val="2"/>
        <scheme val="minor"/>
      </rPr>
      <t xml:space="preserve">, </t>
    </r>
    <r>
      <rPr>
        <b/>
        <sz val="11"/>
        <color theme="1"/>
        <rFont val="Aptos Narrow"/>
        <family val="2"/>
        <scheme val="minor"/>
      </rPr>
      <t>medium</t>
    </r>
    <r>
      <rPr>
        <sz val="11"/>
        <color theme="1"/>
        <rFont val="Aptos Narrow"/>
        <family val="2"/>
        <scheme val="minor"/>
      </rPr>
      <t xml:space="preserve"> and </t>
    </r>
    <r>
      <rPr>
        <b/>
        <sz val="11"/>
        <color theme="1"/>
        <rFont val="Aptos Narrow"/>
        <family val="2"/>
        <scheme val="minor"/>
      </rPr>
      <t>high</t>
    </r>
    <r>
      <rPr>
        <sz val="11"/>
        <color theme="1"/>
        <rFont val="Aptos Narrow"/>
        <family val="2"/>
        <scheme val="minor"/>
      </rPr>
      <t xml:space="preserve"> storage scenario. For 2030, the EU has set a legal target - see Net-zero Industry Act (NZIA) - to permanently store CO2 (50 Mtpa). This however excludes storage sites in Norway and UK. It is assumed that in none of the scenarios this target is met. According to EC (2026), the maximum permanent storage of CO2 on EU territory is expected to be 29 Mtpa, of which 10 Mtpa in the Netherlands. This mainly involves the Aramis project that will likely not be operational in 2030 yet. For 2050, the EC states that to achieve climate neutrality in 2050, a capacity to permanently store CO2 of 250 Mtpa is required (this can involve storages outside EU) (i.e. aim not a target). The </t>
    </r>
    <r>
      <rPr>
        <b/>
        <sz val="11"/>
        <color theme="1"/>
        <rFont val="Aptos Narrow"/>
        <family val="2"/>
        <scheme val="minor"/>
      </rPr>
      <t>low scenario</t>
    </r>
    <r>
      <rPr>
        <sz val="11"/>
        <color theme="1"/>
        <rFont val="Aptos Narrow"/>
        <family val="2"/>
        <scheme val="minor"/>
      </rPr>
      <t xml:space="preserve"> represents a conservative capacity scenario, assuming that the uptake is relatively slow due to implementation hurdles. This especially holds for onshore storage due to more legal, social, economical and technical challenges resulting in zero onshore storage capacity in 2050. The </t>
    </r>
    <r>
      <rPr>
        <b/>
        <sz val="11"/>
        <color theme="1"/>
        <rFont val="Aptos Narrow"/>
        <family val="2"/>
        <scheme val="minor"/>
      </rPr>
      <t>medium scenario</t>
    </r>
    <r>
      <rPr>
        <sz val="11"/>
        <color theme="1"/>
        <rFont val="Aptos Narrow"/>
        <family val="2"/>
        <scheme val="minor"/>
      </rPr>
      <t xml:space="preserve"> assumes that sufficient storage wil be in place in 2050 to meet EU's aim (250 Mtpa + roughly 25 Mtpa 'reserved' for UK/NO). In the </t>
    </r>
    <r>
      <rPr>
        <b/>
        <sz val="11"/>
        <color theme="1"/>
        <rFont val="Aptos Narrow"/>
        <family val="2"/>
        <scheme val="minor"/>
      </rPr>
      <t>high scenario,</t>
    </r>
    <r>
      <rPr>
        <sz val="11"/>
        <color theme="1"/>
        <rFont val="Aptos Narrow"/>
        <family val="2"/>
        <scheme val="minor"/>
      </rPr>
      <t xml:space="preserve"> the uptake is progressing quickly assuming that all listed projects in the JRC (2024) and CATF (2023) study are operational by 2050. In addition to the listed projects, it is assumed that Germany invests significantly in its own offshore storage potential, assuming a capacity of 60 Mtpa operational in 2050 in the high scenario (based on GEOSTOR, 2025). This is especially of interest to the NL/BE Industrial Case study assessment (Mopo WP5.3). </t>
    </r>
  </si>
  <si>
    <t>Scope</t>
  </si>
  <si>
    <r>
      <t xml:space="preserve">EU storage projects in Megaton of CO2 per annum (Mtpa) for 2030, 2040 and 2050. The onshore storage capacity is defined on </t>
    </r>
    <r>
      <rPr>
        <b/>
        <sz val="11"/>
        <color theme="1"/>
        <rFont val="Aptos Narrow"/>
        <family val="2"/>
        <scheme val="minor"/>
      </rPr>
      <t>NUTS1 level</t>
    </r>
    <r>
      <rPr>
        <sz val="11"/>
        <color theme="1"/>
        <rFont val="Aptos Narrow"/>
        <family val="2"/>
        <scheme val="minor"/>
      </rPr>
      <t xml:space="preserve">, and offshore storage capacity is defined on </t>
    </r>
    <r>
      <rPr>
        <b/>
        <sz val="11"/>
        <color theme="1"/>
        <rFont val="Aptos Narrow"/>
        <family val="2"/>
        <scheme val="minor"/>
      </rPr>
      <t>OFF3 level</t>
    </r>
    <r>
      <rPr>
        <sz val="11"/>
        <color theme="1"/>
        <rFont val="Aptos Narrow"/>
        <family val="2"/>
        <scheme val="minor"/>
      </rPr>
      <t>.</t>
    </r>
  </si>
  <si>
    <t>Data sources</t>
  </si>
  <si>
    <t>JRC, 2024:</t>
  </si>
  <si>
    <t>https://publications.jrc.ec.europa.eu/repository/bitstream/JRC136709/JRC136709_01.pdf</t>
  </si>
  <si>
    <t>CATF, 2023</t>
  </si>
  <si>
    <t>https://www.catf.us/ccsmapeurope/</t>
  </si>
  <si>
    <t>GEOSTOR, 2025</t>
  </si>
  <si>
    <t>https://cdrmare.de/wp-content/uploads/2025/04/geostor_ergebnisse_phase1.pdf</t>
  </si>
  <si>
    <t>EC, 2026</t>
  </si>
  <si>
    <t>REPORT FROM THE COMMISSION TO THE EUROPEAN PARLIAMENT AND THE COUNCIL on the progress towards reaching the Union-wide target for CO2 injection capacity. COM/2026/252 final</t>
  </si>
  <si>
    <t>country</t>
  </si>
  <si>
    <t>year</t>
  </si>
  <si>
    <t>low</t>
  </si>
  <si>
    <t>medium</t>
  </si>
  <si>
    <t>high</t>
  </si>
  <si>
    <t>unit</t>
  </si>
  <si>
    <t>DK</t>
  </si>
  <si>
    <t>Mtpa</t>
  </si>
  <si>
    <t>FR</t>
  </si>
  <si>
    <t>RO</t>
  </si>
  <si>
    <t>HR</t>
  </si>
  <si>
    <t>BG</t>
  </si>
  <si>
    <t>#offshore_region</t>
  </si>
  <si>
    <t>OFF3</t>
  </si>
  <si>
    <t>NSDE011</t>
  </si>
  <si>
    <t>NSDKW12</t>
  </si>
  <si>
    <t>WMES06</t>
  </si>
  <si>
    <t>EMGR02</t>
  </si>
  <si>
    <t>ATIE03</t>
  </si>
  <si>
    <t>WMITN1</t>
  </si>
  <si>
    <t>NSNL012</t>
  </si>
  <si>
    <t>NSNL031</t>
  </si>
  <si>
    <t>ASNON1</t>
  </si>
  <si>
    <t>ASNOS3</t>
  </si>
  <si>
    <t>NSNOS22</t>
  </si>
  <si>
    <t>ASUK051</t>
  </si>
  <si>
    <t>ATUK031</t>
  </si>
  <si>
    <t>ATUK043</t>
  </si>
  <si>
    <t>NSUK011</t>
  </si>
  <si>
    <t>NSUK012</t>
  </si>
  <si>
    <t>NSUK041</t>
  </si>
  <si>
    <t>NSUK042</t>
  </si>
  <si>
    <t>NSUK052</t>
  </si>
  <si>
    <t>Category</t>
  </si>
  <si>
    <t>year of operation based on expert judgment</t>
  </si>
  <si>
    <t>not operational</t>
  </si>
  <si>
    <t>operational in 2030, 2040 and 2050</t>
  </si>
  <si>
    <t>operational in 2040 and 2050</t>
  </si>
  <si>
    <t>operational in 2050</t>
  </si>
  <si>
    <t>year of operation based on source</t>
  </si>
  <si>
    <t>PECD</t>
  </si>
  <si>
    <t>Source</t>
  </si>
  <si>
    <t>Country</t>
  </si>
  <si>
    <t>Storage Basin / Reservoir</t>
  </si>
  <si>
    <t>xcoordinates</t>
  </si>
  <si>
    <t>ycoordinates</t>
  </si>
  <si>
    <t>2025</t>
  </si>
  <si>
    <t>2026</t>
  </si>
  <si>
    <t>2027</t>
  </si>
  <si>
    <t>2028</t>
  </si>
  <si>
    <t>2029</t>
  </si>
  <si>
    <t>2030</t>
  </si>
  <si>
    <t>2031</t>
  </si>
  <si>
    <t>2032</t>
  </si>
  <si>
    <t>2033</t>
  </si>
  <si>
    <t>2034</t>
  </si>
  <si>
    <t>2035</t>
  </si>
  <si>
    <t>2040</t>
  </si>
  <si>
    <t>2050</t>
  </si>
  <si>
    <t>Comment</t>
  </si>
  <si>
    <t>NL</t>
  </si>
  <si>
    <t>JRC 2024</t>
  </si>
  <si>
    <t>Porthos</t>
  </si>
  <si>
    <t>Netherlands</t>
  </si>
  <si>
    <t>Offshore storage</t>
  </si>
  <si>
    <t>JRC: Under development</t>
  </si>
  <si>
    <t>Greensand</t>
  </si>
  <si>
    <t>Denmark</t>
  </si>
  <si>
    <t>JRC: Pilot to commercial scale-up</t>
  </si>
  <si>
    <t>Bifrost</t>
  </si>
  <si>
    <t>JRC: Planned</t>
  </si>
  <si>
    <t>UK</t>
  </si>
  <si>
    <t>HyNet North West storage project</t>
  </si>
  <si>
    <t>United Kingdom</t>
  </si>
  <si>
    <t>NO</t>
  </si>
  <si>
    <t>Northern Lights</t>
  </si>
  <si>
    <t>Norway</t>
  </si>
  <si>
    <t>JRC: Under construction / operational ramp-up</t>
  </si>
  <si>
    <t>Sleipner CO₂ Storage</t>
  </si>
  <si>
    <t>JRC: Operational</t>
  </si>
  <si>
    <t>Snøhvit CO₂ Storage</t>
  </si>
  <si>
    <t>GR</t>
  </si>
  <si>
    <t>Prinos CO2 storage</t>
  </si>
  <si>
    <t>Greece</t>
  </si>
  <si>
    <t>IT</t>
  </si>
  <si>
    <t>Ravenna storage</t>
  </si>
  <si>
    <t>Italy</t>
  </si>
  <si>
    <t>Aramis</t>
  </si>
  <si>
    <t>Smeaheia</t>
  </si>
  <si>
    <t>Acorn CCS</t>
  </si>
  <si>
    <t>JRC: Advanced development. CATF: mentions up to 20 Mt/annum</t>
  </si>
  <si>
    <t>Viking CCS</t>
  </si>
  <si>
    <t>JRC: Advanced development</t>
  </si>
  <si>
    <t>Bacton Thames Net Zero Initiative</t>
  </si>
  <si>
    <t>CATF: Mentions up to 20 Mt/annum</t>
  </si>
  <si>
    <t>Poseidon (UK)</t>
  </si>
  <si>
    <t xml:space="preserve">CATF: in development </t>
  </si>
  <si>
    <t>Northen Endurance Partnership</t>
  </si>
  <si>
    <t>Orion</t>
  </si>
  <si>
    <t>Poseidon CCS</t>
  </si>
  <si>
    <t>JRC: Pilot/planned</t>
  </si>
  <si>
    <t>Luna CCS</t>
  </si>
  <si>
    <t>JRC: Emerging</t>
  </si>
  <si>
    <t>Polaris / Barents Blue</t>
  </si>
  <si>
    <t>Trudvang CCS</t>
  </si>
  <si>
    <t>JRC: Exploration</t>
  </si>
  <si>
    <t>Havstjerne</t>
  </si>
  <si>
    <t>JRC: Early-stage</t>
  </si>
  <si>
    <t>IE</t>
  </si>
  <si>
    <t>Ervia Cork CCS</t>
  </si>
  <si>
    <t>Ireland</t>
  </si>
  <si>
    <t>-</t>
  </si>
  <si>
    <t>Stenlille demo project</t>
  </si>
  <si>
    <t>Onshore storage</t>
  </si>
  <si>
    <t>Trelleborg (Norne)</t>
  </si>
  <si>
    <t>Fyrkat (Norne)</t>
  </si>
  <si>
    <t>Ruby storage project</t>
  </si>
  <si>
    <t>Lacq storage site</t>
  </si>
  <si>
    <t>France</t>
  </si>
  <si>
    <t>Devnya storage site</t>
  </si>
  <si>
    <t>Bulgaria</t>
  </si>
  <si>
    <t>Bockovac</t>
  </si>
  <si>
    <t>Croatia</t>
  </si>
  <si>
    <t>Fieni-Botești</t>
  </si>
  <si>
    <t>Romania</t>
  </si>
  <si>
    <t>ES</t>
  </si>
  <si>
    <t>Tarraco2</t>
  </si>
  <si>
    <t>Spain</t>
  </si>
  <si>
    <t>2040 assumed</t>
  </si>
  <si>
    <t>L10</t>
  </si>
  <si>
    <t>Acorn CCS - extension</t>
  </si>
  <si>
    <t>CATF Mentions up to 20 Mt/annum</t>
  </si>
  <si>
    <t>Bacton Thames Net Zero Initiative - extension</t>
  </si>
  <si>
    <t>CATF Mentions up to 20 Mt/annum (project: Hewett)</t>
  </si>
  <si>
    <t>Orion - extension</t>
  </si>
  <si>
    <t>CATF Mentions 1-6 Mt/annum</t>
  </si>
  <si>
    <t>Northen Endurance Partnership - extension</t>
  </si>
  <si>
    <t>CATF Mentions up to 23 Mt/annum</t>
  </si>
  <si>
    <t>Morecambe Net Zero</t>
  </si>
  <si>
    <t>Not listed in JRC study. CATF: anticipated operational year not known, 2040 assumed (potential)</t>
  </si>
  <si>
    <t>Poseidon (UK) - extension</t>
  </si>
  <si>
    <t>CATF Mentions 1.5 Mt as initial capacity, rising to 40 Mt per annum</t>
  </si>
  <si>
    <t>Veri Shetland</t>
  </si>
  <si>
    <t>CATF Not listed in JRC study, status in development according to clean air task force, operational from 2030. However, on their own website they mention 'ramping up from 2030 onwards'. Hence, not considered as robust capacity in 2030.</t>
  </si>
  <si>
    <t>Atlas</t>
  </si>
  <si>
    <t xml:space="preserve">CATF Not listed in JRC study, in development </t>
  </si>
  <si>
    <t>Kinno</t>
  </si>
  <si>
    <t>CATF Not listed in JRC study, in development, operational year not mentioned (2040 assumed as potential first year)</t>
  </si>
  <si>
    <t>Northern Lights - extension</t>
  </si>
  <si>
    <t>CATF 7 Mtpa mentioned, assumed to be potentially available from 2030 onwards</t>
  </si>
  <si>
    <t>Aramis - extension</t>
  </si>
  <si>
    <t>CATF Total capacity Aramis (including L10) amounts to about 22 Mt/annum. See also: https://www.aramis-ccs.com/</t>
  </si>
  <si>
    <t>Kompas</t>
  </si>
  <si>
    <t>CATF Not listed in JRC study</t>
  </si>
  <si>
    <t>Abeona</t>
  </si>
  <si>
    <t>DE</t>
  </si>
  <si>
    <t>German Northsea</t>
  </si>
  <si>
    <t>Germany</t>
  </si>
  <si>
    <r>
      <t xml:space="preserve">not a listed project, based on GEOSTOR research 0,9 - 5.5 billion tons of CO2 (assuming 2500 MtCO2/40 operational years  </t>
    </r>
    <r>
      <rPr>
        <sz val="11"/>
        <color theme="1"/>
        <rFont val="Aptos Narrow"/>
        <family val="2"/>
      </rPr>
      <t>~</t>
    </r>
    <r>
      <rPr>
        <sz val="11"/>
        <color theme="1"/>
        <rFont val="Aptos Narrow"/>
        <family val="2"/>
        <scheme val="minor"/>
      </rPr>
      <t>60 Mtpa). X and Y coordinates suggested by AI.</t>
    </r>
  </si>
  <si>
    <t>% of total scenario potential</t>
  </si>
  <si>
    <t>Low</t>
  </si>
  <si>
    <t>Medium</t>
  </si>
  <si>
    <t>High</t>
  </si>
  <si>
    <t>check totals</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</si>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</sst>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rgb="FF000000"/>
      <name val="Aptos Narrow"/>
      <family val="2"/>
    </font>
    <font>
      <sz val="11"/>
      <color rgb="FF000000"/>
      <name val="Calibri"/>
      <family val="2"/>
    </font>
    <font>
      <sz val="11"/>
      <color theme="1"/>
      <name val="Aptos Narrow"/>
      <family val="2"/>
      <scheme val="minor"/>
    </font>
    <font>
      <sz val="11"/>
      <color theme="1"/>
      <name val="Aptos Narrow"/>
      <family val="2"/>
    </font>
    <font>
      <sz val="11"/>
      <color rgb="FF9C5700"/>
      <name val="Aptos Narrow"/>
      <family val="2"/>
      <scheme val="minor"/>
    </font>
    <font>
      <sz val="11"/>
      <color rgb="FF000000"/>
      <name val="Aptos Narrow"/>
      <family val="2"/>
      <scheme val="minor"/>
    </font>
    <font>
      <b/>
      <sz val="11"/>
      <color rgb="FF00000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EB9C"/>
      </patternFill>
    </fill>
  </fills>
  <borders count="1">
    <border>
      <left/>
      <right/>
      <top/>
      <bottom/>
      <diagonal/>
    </border>
  </borders>
  <cellStyleXfs count="4">
    <xf numFmtId="0" fontId="0" fillId="0" borderId="0"/>
    <xf numFmtId="0" fontId="3" fillId="0" borderId="0" applyNumberFormat="0" applyFill="0" applyBorder="0" applyAlignment="0" applyProtection="0"/>
    <xf numFmtId="9" fontId="6" fillId="0" borderId="0" applyFont="0" applyFill="0" applyBorder="0" applyAlignment="0" applyProtection="0"/>
    <xf numFmtId="0" fontId="8" fillId="3" borderId="0" applyNumberFormat="0" applyBorder="0" applyAlignment="0" applyProtection="0"/>
  </cellStyleXfs>
  <cellXfs count="26">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xf numFmtId="0" fontId="0" fillId="0" borderId="0" xfId="0" applyAlignment="1">
      <alignment vertical="center" wrapText="1"/>
    </xf>
    <xf numFmtId="164" fontId="0" fillId="0" borderId="0" xfId="0" applyNumberFormat="1" applyAlignment="1">
      <alignment vertical="center"/>
    </xf>
    <xf numFmtId="164" fontId="0" fillId="0" borderId="0" xfId="0" applyNumberFormat="1" applyAlignment="1">
      <alignment vertical="center" wrapText="1"/>
    </xf>
    <xf numFmtId="0" fontId="3" fillId="0" borderId="0" xfId="1"/>
    <xf numFmtId="0" fontId="4" fillId="0" borderId="0" xfId="0" applyFont="1"/>
    <xf numFmtId="0" fontId="0" fillId="0" borderId="0" xfId="0" applyAlignment="1">
      <alignment horizontal="left" vertical="center"/>
    </xf>
    <xf numFmtId="0" fontId="5" fillId="0" borderId="0" xfId="0" applyFont="1" applyAlignment="1">
      <alignment wrapText="1"/>
    </xf>
    <xf numFmtId="164" fontId="0" fillId="0" borderId="0" xfId="0" applyNumberFormat="1"/>
    <xf numFmtId="1" fontId="0" fillId="0" borderId="0" xfId="0" applyNumberFormat="1"/>
    <xf numFmtId="9" fontId="0" fillId="0" borderId="0" xfId="2" applyFont="1"/>
    <xf numFmtId="0" fontId="1" fillId="2" borderId="0" xfId="0" applyFont="1" applyFill="1"/>
    <xf numFmtId="0" fontId="0" fillId="2" borderId="0" xfId="0" applyFill="1"/>
    <xf numFmtId="0" fontId="1" fillId="2" borderId="0" xfId="0" applyFont="1" applyFill="1" applyAlignment="1">
      <alignment vertical="top"/>
    </xf>
    <xf numFmtId="0" fontId="3" fillId="2" borderId="0" xfId="1" applyFill="1" applyBorder="1"/>
    <xf numFmtId="0" fontId="1" fillId="2" borderId="0" xfId="0" applyFont="1" applyFill="1" applyAlignment="1">
      <alignment horizontal="center" vertical="top"/>
    </xf>
    <xf numFmtId="22" fontId="0" fillId="2" borderId="0" xfId="0" applyNumberFormat="1" applyFill="1" applyAlignment="1">
      <alignment horizontal="center" vertical="top"/>
    </xf>
    <xf numFmtId="0" fontId="0" fillId="2" borderId="0" xfId="0" applyFill="1" applyAlignment="1">
      <alignment horizontal="center" vertical="top"/>
    </xf>
    <xf numFmtId="0" fontId="0" fillId="2" borderId="0" xfId="0" applyFill="1" applyAlignment="1">
      <alignment horizontal="center" vertical="top" wrapText="1"/>
    </xf>
    <xf numFmtId="0" fontId="9" fillId="0" borderId="0" xfId="0" applyFont="1" applyFill="1"/>
    <xf numFmtId="0" fontId="10" fillId="0" borderId="0" xfId="3" applyFont="1" applyFill="1"/>
    <xf numFmtId="0" fontId="9" fillId="0" borderId="0" xfId="0" applyFont="1"/>
    <xf numFmtId="0" fontId="9" fillId="0" borderId="0" xfId="3" applyFont="1" applyFill="1"/>
  </cellXfs>
  <cellStyles count="4">
    <cellStyle name="Hyperlink" xfId="1" builtinId="8"/>
    <cellStyle name="Neutral" xfId="3" builtinId="28"/>
    <cellStyle name="Normal" xfId="0" builtinId="0"/>
    <cellStyle name="Percent" xfId="2" builtinId="5"/>
  </cellStyles>
  <dxfs count="5">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nl-NL"/>
              <a:t>EU CO2 storage capacity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nl-NL"/>
        </a:p>
      </c:txPr>
    </c:title>
    <c:autoTitleDeleted val="0"/>
    <c:plotArea>
      <c:layout/>
      <c:barChart>
        <c:barDir val="bar"/>
        <c:grouping val="clustered"/>
        <c:varyColors val="0"/>
        <c:ser>
          <c:idx val="0"/>
          <c:order val="0"/>
          <c:tx>
            <c:strRef>
              <c:f>Totals!$B$2</c:f>
              <c:strCache>
                <c:ptCount val="1"/>
                <c:pt idx="0">
                  <c:v>low</c:v>
                </c:pt>
              </c:strCache>
            </c:strRef>
          </c:tx>
          <c:spPr>
            <a:solidFill>
              <a:schemeClr val="accent1"/>
            </a:solidFill>
            <a:ln>
              <a:noFill/>
            </a:ln>
            <a:effectLst/>
          </c:spPr>
          <c:invertIfNegative val="0"/>
          <c:cat>
            <c:numRef>
              <c:f>Totals!$A$3:$A$5</c:f>
              <c:numCache>
                <c:formatCode>General</c:formatCode>
                <c:ptCount val="3"/>
                <c:pt idx="0">
                  <c:v>2030</c:v>
                </c:pt>
                <c:pt idx="1">
                  <c:v>2040</c:v>
                </c:pt>
                <c:pt idx="2">
                  <c:v>2050</c:v>
                </c:pt>
              </c:numCache>
            </c:numRef>
          </c:cat>
          <c:val>
            <c:numRef>
              <c:f>Totals!$B$3:$B$5</c:f>
              <c:numCache>
                <c:formatCode>0</c:formatCode>
                <c:ptCount val="3"/>
                <c:pt idx="0">
                  <c:v>36.9</c:v>
                </c:pt>
                <c:pt idx="1">
                  <c:v>117.9</c:v>
                </c:pt>
                <c:pt idx="2">
                  <c:v>138.9</c:v>
                </c:pt>
              </c:numCache>
            </c:numRef>
          </c:val>
          <c:extLst>
            <c:ext xmlns:c16="http://schemas.microsoft.com/office/drawing/2014/chart" uri="{C3380CC4-5D6E-409C-BE32-E72D297353CC}">
              <c16:uniqueId val="{00000000-541C-498A-9353-2AC8ABF3B359}"/>
            </c:ext>
          </c:extLst>
        </c:ser>
        <c:ser>
          <c:idx val="1"/>
          <c:order val="1"/>
          <c:tx>
            <c:strRef>
              <c:f>Totals!$C$2</c:f>
              <c:strCache>
                <c:ptCount val="1"/>
                <c:pt idx="0">
                  <c:v>medium</c:v>
                </c:pt>
              </c:strCache>
            </c:strRef>
          </c:tx>
          <c:spPr>
            <a:solidFill>
              <a:schemeClr val="accent2"/>
            </a:solidFill>
            <a:ln>
              <a:noFill/>
            </a:ln>
            <a:effectLst/>
          </c:spPr>
          <c:invertIfNegative val="0"/>
          <c:cat>
            <c:numRef>
              <c:f>Totals!$A$3:$A$5</c:f>
              <c:numCache>
                <c:formatCode>General</c:formatCode>
                <c:ptCount val="3"/>
                <c:pt idx="0">
                  <c:v>2030</c:v>
                </c:pt>
                <c:pt idx="1">
                  <c:v>2040</c:v>
                </c:pt>
                <c:pt idx="2">
                  <c:v>2050</c:v>
                </c:pt>
              </c:numCache>
            </c:numRef>
          </c:cat>
          <c:val>
            <c:numRef>
              <c:f>Totals!$C$3:$C$5</c:f>
              <c:numCache>
                <c:formatCode>0</c:formatCode>
                <c:ptCount val="3"/>
                <c:pt idx="0">
                  <c:v>51.9</c:v>
                </c:pt>
                <c:pt idx="1">
                  <c:v>202.9</c:v>
                </c:pt>
                <c:pt idx="2">
                  <c:v>273.5</c:v>
                </c:pt>
              </c:numCache>
            </c:numRef>
          </c:val>
          <c:extLst>
            <c:ext xmlns:c16="http://schemas.microsoft.com/office/drawing/2014/chart" uri="{C3380CC4-5D6E-409C-BE32-E72D297353CC}">
              <c16:uniqueId val="{00000001-541C-498A-9353-2AC8ABF3B359}"/>
            </c:ext>
          </c:extLst>
        </c:ser>
        <c:ser>
          <c:idx val="2"/>
          <c:order val="2"/>
          <c:tx>
            <c:strRef>
              <c:f>Totals!$D$2</c:f>
              <c:strCache>
                <c:ptCount val="1"/>
                <c:pt idx="0">
                  <c:v>high</c:v>
                </c:pt>
              </c:strCache>
            </c:strRef>
          </c:tx>
          <c:spPr>
            <a:solidFill>
              <a:schemeClr val="accent3"/>
            </a:solidFill>
            <a:ln>
              <a:noFill/>
            </a:ln>
            <a:effectLst/>
          </c:spPr>
          <c:invertIfNegative val="0"/>
          <c:cat>
            <c:numRef>
              <c:f>Totals!$A$3:$A$5</c:f>
              <c:numCache>
                <c:formatCode>General</c:formatCode>
                <c:ptCount val="3"/>
                <c:pt idx="0">
                  <c:v>2030</c:v>
                </c:pt>
                <c:pt idx="1">
                  <c:v>2040</c:v>
                </c:pt>
                <c:pt idx="2">
                  <c:v>2050</c:v>
                </c:pt>
              </c:numCache>
            </c:numRef>
          </c:cat>
          <c:val>
            <c:numRef>
              <c:f>Totals!$D$3:$D$5</c:f>
              <c:numCache>
                <c:formatCode>0</c:formatCode>
                <c:ptCount val="3"/>
                <c:pt idx="0">
                  <c:v>51.9</c:v>
                </c:pt>
                <c:pt idx="1">
                  <c:v>313.49999999999994</c:v>
                </c:pt>
                <c:pt idx="2">
                  <c:v>373.49999999999994</c:v>
                </c:pt>
              </c:numCache>
            </c:numRef>
          </c:val>
          <c:extLst>
            <c:ext xmlns:c16="http://schemas.microsoft.com/office/drawing/2014/chart" uri="{C3380CC4-5D6E-409C-BE32-E72D297353CC}">
              <c16:uniqueId val="{00000002-541C-498A-9353-2AC8ABF3B359}"/>
            </c:ext>
          </c:extLst>
        </c:ser>
        <c:dLbls>
          <c:showLegendKey val="0"/>
          <c:showVal val="0"/>
          <c:showCatName val="0"/>
          <c:showSerName val="0"/>
          <c:showPercent val="0"/>
          <c:showBubbleSize val="0"/>
        </c:dLbls>
        <c:gapWidth val="247"/>
        <c:axId val="321395872"/>
        <c:axId val="321388672"/>
      </c:barChart>
      <c:catAx>
        <c:axId val="3213958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nl-NL"/>
          </a:p>
        </c:txPr>
        <c:crossAx val="321388672"/>
        <c:crosses val="autoZero"/>
        <c:auto val="1"/>
        <c:lblAlgn val="ctr"/>
        <c:lblOffset val="100"/>
        <c:noMultiLvlLbl val="0"/>
      </c:catAx>
      <c:valAx>
        <c:axId val="32138867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nl-NL"/>
                  <a:t>Mtpa</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nl-N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nl-NL"/>
          </a:p>
        </c:txPr>
        <c:crossAx val="32139587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nl-NL"/>
        </a:p>
      </c:txPr>
    </c:legend>
    <c:plotVisOnly val="1"/>
    <c:dispBlanksAs val="gap"/>
    <c:showDLblsOverMax val="0"/>
  </c:chart>
  <c:spPr>
    <a:solidFill>
      <a:schemeClr val="lt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428624</xdr:colOff>
      <xdr:row>4</xdr:row>
      <xdr:rowOff>19049</xdr:rowOff>
    </xdr:from>
    <xdr:to>
      <xdr:col>22</xdr:col>
      <xdr:colOff>247649</xdr:colOff>
      <xdr:row>24</xdr:row>
      <xdr:rowOff>161924</xdr:rowOff>
    </xdr:to>
    <xdr:graphicFrame macro="">
      <xdr:nvGraphicFramePr>
        <xdr:cNvPr id="2" name="Chart 1">
          <a:extLst>
            <a:ext uri="{FF2B5EF4-FFF2-40B4-BE49-F238E27FC236}">
              <a16:creationId xmlns:a16="http://schemas.microsoft.com/office/drawing/2014/main" id="{F659EC58-82CA-48D3-85A8-F162B2779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AE88DB-DA93-451F-A8E8-F3499DD95FCB}" name="Table2" displayName="Table2" ref="A8:Y55" totalsRowShown="0" headerRowDxfId="4">
  <autoFilter ref="A8:Y55" xr:uid="{C2AE88DB-DA93-451F-A8E8-F3499DD95FCB}">
    <filterColumn colId="8">
      <filters>
        <filter val="Offshore storage"/>
      </filters>
    </filterColumn>
  </autoFilter>
  <tableColumns count="25">
    <tableColumn id="1" xr3:uid="{18727211-052D-4790-9186-880BF4871E31}" name="low"/>
    <tableColumn id="2" xr3:uid="{90A0B2CA-03EA-4890-9CA5-E927910BC80F}" name="medium"/>
    <tableColumn id="3" xr3:uid="{91174535-A30F-4BCE-B2DA-B1D922F8B80C}" name="high"/>
    <tableColumn id="4" xr3:uid="{9BDA41EE-C0A1-4840-BA40-93AD5E038583}" name="OFF3"/>
    <tableColumn id="5" xr3:uid="{EF147D06-C09B-4067-B461-3F5119F0AE90}" name="PECD"/>
    <tableColumn id="6" xr3:uid="{134C4898-67BC-4531-8C81-A773A35F98C0}" name="Source"/>
    <tableColumn id="7" xr3:uid="{3B63CD02-02FA-4452-BBC4-CF03D987BBCD}" name="Project" dataDxfId="3"/>
    <tableColumn id="8" xr3:uid="{741F08CF-1CC2-4EE4-8DB4-0BA41A30C36D}" name="Country" dataDxfId="2"/>
    <tableColumn id="9" xr3:uid="{48759B92-C326-4CF7-B742-FCE012174C8D}" name="Storage Basin / Reservoir" dataDxfId="1"/>
    <tableColumn id="10" xr3:uid="{D9C7A8E6-0DF4-4106-BC02-3AAECD758515}" name="xcoordinates"/>
    <tableColumn id="11" xr3:uid="{38A8D611-C897-4B08-80DA-D483E725BB5E}" name="ycoordinates"/>
    <tableColumn id="12" xr3:uid="{101F0AD1-3451-4481-9A1C-4BFBCDA127F7}" name="2025"/>
    <tableColumn id="13" xr3:uid="{F261C572-B214-4C28-AFAF-AFFFC824B499}" name="2026"/>
    <tableColumn id="14" xr3:uid="{7B51E762-4BEC-41EB-94CA-E84D62420711}" name="2027"/>
    <tableColumn id="15" xr3:uid="{2A0C7BCA-E401-432B-81F9-8209E2AAB90D}" name="2028"/>
    <tableColumn id="16" xr3:uid="{73D8692C-890B-4878-843E-7EE9B3C49C78}" name="2029"/>
    <tableColumn id="17" xr3:uid="{5BD69160-4543-46D0-ACE6-7EC10A38A4C4}" name="2030"/>
    <tableColumn id="18" xr3:uid="{9DAD281F-0F94-4C35-8A33-F34F412E8099}" name="2031"/>
    <tableColumn id="19" xr3:uid="{40380319-FCA0-4F37-99F8-853FEA969BB6}" name="2032"/>
    <tableColumn id="20" xr3:uid="{A64E1CF5-2695-4817-9BDA-FFB845CC31F7}" name="2033"/>
    <tableColumn id="21" xr3:uid="{E26240E6-9E63-4471-B441-869EF02E1CCB}" name="2034"/>
    <tableColumn id="22" xr3:uid="{20E466DA-D6DC-4F21-8231-3AFED50E46B7}" name="2035"/>
    <tableColumn id="23" xr3:uid="{76E0358C-8B1A-43B3-96C9-DF5741C5B12C}" name="2040"/>
    <tableColumn id="24" xr3:uid="{95BBF107-C340-47EC-B2D4-D59C0FCEBA6C}" name="2050" dataDxfId="0"/>
    <tableColumn id="25" xr3:uid="{6F6D1BE7-B473-4BE3-B5EC-1385291BA70F}" name="Comment"/>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atf.us/ccsmapeurope/" TargetMode="External"/><Relationship Id="rId2" Type="http://schemas.openxmlformats.org/officeDocument/2006/relationships/hyperlink" Target="https://cdrmare.de/wp-content/uploads/2025/04/geostor_ergebnisse_phase1.pdf" TargetMode="External"/><Relationship Id="rId1" Type="http://schemas.openxmlformats.org/officeDocument/2006/relationships/hyperlink" Target="https://publications.jrc.ec.europa.eu/repository/bitstream/JRC136709/JRC136709_01.pdf"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FAB7-02A0-469D-AFE2-4834E832A3FE}">
  <dimension ref="A1:K30"/>
  <sheetViews>
    <sheetView workbookViewId="0">
      <selection activeCell="B5" sqref="B5"/>
    </sheetView>
  </sheetViews>
  <sheetFormatPr defaultRowHeight="15"/>
  <cols>
    <col min="1" max="1" width="12.5703125" style="15" bestFit="1" customWidth="1"/>
    <col min="2" max="2" width="14.42578125" style="15" bestFit="1" customWidth="1"/>
    <col min="3" max="16384" width="9.140625" style="15"/>
  </cols>
  <sheetData>
    <row r="1" spans="1:11">
      <c r="A1" s="16" t="s">
        <v>0</v>
      </c>
      <c r="B1" s="19">
        <v>46272.415847916665</v>
      </c>
      <c r="C1" s="19"/>
      <c r="D1" s="19"/>
      <c r="E1" s="19"/>
      <c r="F1" s="19"/>
      <c r="G1" s="19"/>
      <c r="H1" s="19"/>
      <c r="I1" s="19"/>
      <c r="J1" s="19"/>
      <c r="K1" s="19"/>
    </row>
    <row r="2" spans="1:11">
      <c r="A2" s="16" t="s">
        <v>1</v>
      </c>
      <c r="B2" s="19" t="s">
        <v>2</v>
      </c>
      <c r="C2" s="19"/>
      <c r="D2" s="19"/>
      <c r="E2" s="19"/>
      <c r="F2" s="19"/>
      <c r="G2" s="19"/>
      <c r="H2" s="19"/>
      <c r="I2" s="19"/>
      <c r="J2" s="19"/>
      <c r="K2" s="19"/>
    </row>
    <row r="3" spans="1:11">
      <c r="A3" s="16" t="s">
        <v>3</v>
      </c>
      <c r="B3" s="20" t="s">
        <v>4</v>
      </c>
      <c r="C3" s="20"/>
      <c r="D3" s="20"/>
      <c r="E3" s="20"/>
      <c r="F3" s="20"/>
      <c r="G3" s="20"/>
      <c r="H3" s="20"/>
      <c r="I3" s="20"/>
      <c r="J3" s="20"/>
      <c r="K3" s="20"/>
    </row>
    <row r="4" spans="1:11">
      <c r="A4" s="16" t="s">
        <v>5</v>
      </c>
      <c r="B4" s="20" t="s">
        <v>6</v>
      </c>
      <c r="C4" s="20"/>
      <c r="D4" s="20"/>
      <c r="E4" s="20"/>
      <c r="F4" s="20"/>
      <c r="G4" s="20"/>
      <c r="H4" s="20"/>
      <c r="I4" s="20"/>
      <c r="J4" s="20"/>
      <c r="K4" s="20"/>
    </row>
    <row r="5" spans="1:11" ht="15" customHeight="1">
      <c r="A5" s="18" t="s">
        <v>7</v>
      </c>
      <c r="B5" s="21" t="s">
        <v>8</v>
      </c>
      <c r="C5" s="21"/>
      <c r="D5" s="21"/>
      <c r="E5" s="21"/>
      <c r="F5" s="21"/>
      <c r="G5" s="21"/>
      <c r="H5" s="21"/>
      <c r="I5" s="21"/>
      <c r="J5" s="21"/>
      <c r="K5" s="21"/>
    </row>
    <row r="6" spans="1:11">
      <c r="A6" s="18"/>
      <c r="B6" s="21"/>
      <c r="C6" s="21"/>
      <c r="D6" s="21"/>
      <c r="E6" s="21"/>
      <c r="F6" s="21"/>
      <c r="G6" s="21"/>
      <c r="H6" s="21"/>
      <c r="I6" s="21"/>
      <c r="J6" s="21"/>
      <c r="K6" s="21"/>
    </row>
    <row r="7" spans="1:11">
      <c r="A7" s="18"/>
      <c r="B7" s="21"/>
      <c r="C7" s="21"/>
      <c r="D7" s="21"/>
      <c r="E7" s="21"/>
      <c r="F7" s="21"/>
      <c r="G7" s="21"/>
      <c r="H7" s="21"/>
      <c r="I7" s="21"/>
      <c r="J7" s="21"/>
      <c r="K7" s="21"/>
    </row>
    <row r="8" spans="1:11">
      <c r="A8" s="18"/>
      <c r="B8" s="21"/>
      <c r="C8" s="21"/>
      <c r="D8" s="21"/>
      <c r="E8" s="21"/>
      <c r="F8" s="21"/>
      <c r="G8" s="21"/>
      <c r="H8" s="21"/>
      <c r="I8" s="21"/>
      <c r="J8" s="21"/>
      <c r="K8" s="21"/>
    </row>
    <row r="9" spans="1:11">
      <c r="A9" s="18"/>
      <c r="B9" s="21"/>
      <c r="C9" s="21"/>
      <c r="D9" s="21"/>
      <c r="E9" s="21"/>
      <c r="F9" s="21"/>
      <c r="G9" s="21"/>
      <c r="H9" s="21"/>
      <c r="I9" s="21"/>
      <c r="J9" s="21"/>
      <c r="K9" s="21"/>
    </row>
    <row r="10" spans="1:11">
      <c r="A10" s="18"/>
      <c r="B10" s="21"/>
      <c r="C10" s="21"/>
      <c r="D10" s="21"/>
      <c r="E10" s="21"/>
      <c r="F10" s="21"/>
      <c r="G10" s="21"/>
      <c r="H10" s="21"/>
      <c r="I10" s="21"/>
      <c r="J10" s="21"/>
      <c r="K10" s="21"/>
    </row>
    <row r="11" spans="1:11">
      <c r="A11" s="18"/>
      <c r="B11" s="21"/>
      <c r="C11" s="21"/>
      <c r="D11" s="21"/>
      <c r="E11" s="21"/>
      <c r="F11" s="21"/>
      <c r="G11" s="21"/>
      <c r="H11" s="21"/>
      <c r="I11" s="21"/>
      <c r="J11" s="21"/>
      <c r="K11" s="21"/>
    </row>
    <row r="12" spans="1:11">
      <c r="A12" s="18"/>
      <c r="B12" s="21"/>
      <c r="C12" s="21"/>
      <c r="D12" s="21"/>
      <c r="E12" s="21"/>
      <c r="F12" s="21"/>
      <c r="G12" s="21"/>
      <c r="H12" s="21"/>
      <c r="I12" s="21"/>
      <c r="J12" s="21"/>
      <c r="K12" s="21"/>
    </row>
    <row r="13" spans="1:11">
      <c r="A13" s="18"/>
      <c r="B13" s="21"/>
      <c r="C13" s="21"/>
      <c r="D13" s="21"/>
      <c r="E13" s="21"/>
      <c r="F13" s="21"/>
      <c r="G13" s="21"/>
      <c r="H13" s="21"/>
      <c r="I13" s="21"/>
      <c r="J13" s="21"/>
      <c r="K13" s="21"/>
    </row>
    <row r="14" spans="1:11">
      <c r="A14" s="18"/>
      <c r="B14" s="21"/>
      <c r="C14" s="21"/>
      <c r="D14" s="21"/>
      <c r="E14" s="21"/>
      <c r="F14" s="21"/>
      <c r="G14" s="21"/>
      <c r="H14" s="21"/>
      <c r="I14" s="21"/>
      <c r="J14" s="21"/>
      <c r="K14" s="21"/>
    </row>
    <row r="15" spans="1:11">
      <c r="A15" s="18"/>
      <c r="B15" s="21"/>
      <c r="C15" s="21"/>
      <c r="D15" s="21"/>
      <c r="E15" s="21"/>
      <c r="F15" s="21"/>
      <c r="G15" s="21"/>
      <c r="H15" s="21"/>
      <c r="I15" s="21"/>
      <c r="J15" s="21"/>
      <c r="K15" s="21"/>
    </row>
    <row r="16" spans="1:11">
      <c r="A16" s="18"/>
      <c r="B16" s="21"/>
      <c r="C16" s="21"/>
      <c r="D16" s="21"/>
      <c r="E16" s="21"/>
      <c r="F16" s="21"/>
      <c r="G16" s="21"/>
      <c r="H16" s="21"/>
      <c r="I16" s="21"/>
      <c r="J16" s="21"/>
      <c r="K16" s="21"/>
    </row>
    <row r="17" spans="1:11">
      <c r="A17" s="18"/>
      <c r="B17" s="21"/>
      <c r="C17" s="21"/>
      <c r="D17" s="21"/>
      <c r="E17" s="21"/>
      <c r="F17" s="21"/>
      <c r="G17" s="21"/>
      <c r="H17" s="21"/>
      <c r="I17" s="21"/>
      <c r="J17" s="21"/>
      <c r="K17" s="21"/>
    </row>
    <row r="18" spans="1:11">
      <c r="A18" s="18"/>
      <c r="B18" s="21"/>
      <c r="C18" s="21"/>
      <c r="D18" s="21"/>
      <c r="E18" s="21"/>
      <c r="F18" s="21"/>
      <c r="G18" s="21"/>
      <c r="H18" s="21"/>
      <c r="I18" s="21"/>
      <c r="J18" s="21"/>
      <c r="K18" s="21"/>
    </row>
    <row r="19" spans="1:11">
      <c r="A19" s="18"/>
      <c r="B19" s="21"/>
      <c r="C19" s="21"/>
      <c r="D19" s="21"/>
      <c r="E19" s="21"/>
      <c r="F19" s="21"/>
      <c r="G19" s="21"/>
      <c r="H19" s="21"/>
      <c r="I19" s="21"/>
      <c r="J19" s="21"/>
      <c r="K19" s="21"/>
    </row>
    <row r="20" spans="1:11" ht="15" customHeight="1">
      <c r="B20" s="21"/>
      <c r="C20" s="21"/>
      <c r="D20" s="21"/>
      <c r="E20" s="21"/>
      <c r="F20" s="21"/>
      <c r="G20" s="21"/>
      <c r="H20" s="21"/>
      <c r="I20" s="21"/>
      <c r="J20" s="21"/>
      <c r="K20" s="21"/>
    </row>
    <row r="21" spans="1:11">
      <c r="B21" s="21"/>
      <c r="C21" s="21"/>
      <c r="D21" s="21"/>
      <c r="E21" s="21"/>
      <c r="F21" s="21"/>
      <c r="G21" s="21"/>
      <c r="H21" s="21"/>
      <c r="I21" s="21"/>
      <c r="J21" s="21"/>
      <c r="K21" s="21"/>
    </row>
    <row r="22" spans="1:11">
      <c r="B22" s="21"/>
      <c r="C22" s="21"/>
      <c r="D22" s="21"/>
      <c r="E22" s="21"/>
      <c r="F22" s="21"/>
      <c r="G22" s="21"/>
      <c r="H22" s="21"/>
      <c r="I22" s="21"/>
      <c r="J22" s="21"/>
      <c r="K22" s="21"/>
    </row>
    <row r="23" spans="1:11">
      <c r="B23" s="21"/>
      <c r="C23" s="21"/>
      <c r="D23" s="21"/>
      <c r="E23" s="21"/>
      <c r="F23" s="21"/>
      <c r="G23" s="21"/>
      <c r="H23" s="21"/>
      <c r="I23" s="21"/>
      <c r="J23" s="21"/>
      <c r="K23" s="21"/>
    </row>
    <row r="24" spans="1:11">
      <c r="A24" s="18" t="s">
        <v>9</v>
      </c>
      <c r="B24" s="21" t="s">
        <v>10</v>
      </c>
      <c r="C24" s="21"/>
      <c r="D24" s="21"/>
      <c r="E24" s="21"/>
      <c r="F24" s="21"/>
      <c r="G24" s="21"/>
      <c r="H24" s="21"/>
      <c r="I24" s="21"/>
      <c r="J24" s="21"/>
      <c r="K24" s="21"/>
    </row>
    <row r="25" spans="1:11">
      <c r="A25" s="18"/>
      <c r="B25" s="21"/>
      <c r="C25" s="21"/>
      <c r="D25" s="21"/>
      <c r="E25" s="21"/>
      <c r="F25" s="21"/>
      <c r="G25" s="21"/>
      <c r="H25" s="21"/>
      <c r="I25" s="21"/>
      <c r="J25" s="21"/>
      <c r="K25" s="21"/>
    </row>
    <row r="26" spans="1:11">
      <c r="A26" s="18"/>
      <c r="B26" s="21"/>
      <c r="C26" s="21"/>
      <c r="D26" s="21"/>
      <c r="E26" s="21"/>
      <c r="F26" s="21"/>
      <c r="G26" s="21"/>
      <c r="H26" s="21"/>
      <c r="I26" s="21"/>
      <c r="J26" s="21"/>
      <c r="K26" s="21"/>
    </row>
    <row r="27" spans="1:11">
      <c r="A27" s="14" t="s">
        <v>11</v>
      </c>
      <c r="B27" s="15" t="s">
        <v>12</v>
      </c>
      <c r="C27" s="17" t="s">
        <v>13</v>
      </c>
    </row>
    <row r="28" spans="1:11">
      <c r="B28" s="15" t="s">
        <v>14</v>
      </c>
      <c r="C28" s="17" t="s">
        <v>15</v>
      </c>
    </row>
    <row r="29" spans="1:11">
      <c r="B29" s="15" t="s">
        <v>16</v>
      </c>
      <c r="C29" s="17" t="s">
        <v>17</v>
      </c>
    </row>
    <row r="30" spans="1:11">
      <c r="B30" s="15" t="s">
        <v>18</v>
      </c>
      <c r="C30" s="15" t="s">
        <v>19</v>
      </c>
    </row>
  </sheetData>
  <mergeCells count="8">
    <mergeCell ref="A24:A26"/>
    <mergeCell ref="A5:A19"/>
    <mergeCell ref="B1:K1"/>
    <mergeCell ref="B2:K2"/>
    <mergeCell ref="B3:K3"/>
    <mergeCell ref="B4:K4"/>
    <mergeCell ref="B24:K26"/>
    <mergeCell ref="B5:K23"/>
  </mergeCells>
  <hyperlinks>
    <hyperlink ref="C27" r:id="rId1" xr:uid="{5B449CEA-9E94-453F-91FB-6FAFEAF28C0F}"/>
    <hyperlink ref="C29" r:id="rId2" xr:uid="{91C83C3A-D672-4DA6-AF18-515AF8941FB3}"/>
    <hyperlink ref="C28" r:id="rId3" xr:uid="{32FFE85C-6F31-42DC-A2B2-FE8CF2DE4D4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D422-2CB4-4BC0-98BF-984AD389AF2E}">
  <sheetPr>
    <tabColor rgb="FFFFC000"/>
  </sheetPr>
  <dimension ref="A1:H18"/>
  <sheetViews>
    <sheetView workbookViewId="0">
      <selection activeCell="G9" sqref="G9"/>
    </sheetView>
  </sheetViews>
  <sheetFormatPr defaultRowHeight="15"/>
  <cols>
    <col min="1" max="1" width="28" bestFit="1" customWidth="1"/>
    <col min="2" max="2" width="5" bestFit="1" customWidth="1"/>
    <col min="3" max="3" width="4.140625" bestFit="1" customWidth="1"/>
    <col min="4" max="4" width="8.28515625" bestFit="1" customWidth="1"/>
    <col min="5" max="5" width="5" bestFit="1" customWidth="1"/>
    <col min="6" max="6" width="9.7109375" bestFit="1" customWidth="1"/>
  </cols>
  <sheetData>
    <row r="1" spans="1:8">
      <c r="A1" s="22" t="s">
        <v>20</v>
      </c>
      <c r="B1" s="23" t="s">
        <v>21</v>
      </c>
      <c r="C1" s="23" t="s">
        <v>22</v>
      </c>
      <c r="D1" s="23" t="s">
        <v>23</v>
      </c>
      <c r="E1" s="23" t="s">
        <v>24</v>
      </c>
      <c r="F1" s="23" t="s">
        <v>25</v>
      </c>
      <c r="G1" s="22"/>
      <c r="H1" s="24"/>
    </row>
    <row r="2" spans="1:8">
      <c r="A2" s="22" t="s">
        <v>26</v>
      </c>
      <c r="B2" s="25">
        <v>2030</v>
      </c>
      <c r="C2" s="25">
        <f>SUMIFS(storage_capacity_2030,onshore_or_offshore,"Onshore storage",operational_category_low,1,onshore_nuts1,A2)+IF(B2=2040,SUMIFS(storage_capacity_2040,onshore_or_offshore,"Onshore storage",operational_category_low,2,onshore_nuts1,A2))+IF(B2=2050,SUMIFS(storage_capacity_2040,onshore_or_offshore,"Onshore storage",operational_category_low,2,onshore_nuts1,A2))+IF(B2=2050,SUMIFS(storage_capacity_2050,onshore_or_offshore,"Onshore storage",operational_category_low,3,onshore_nuts1,A2))</f>
        <v>0</v>
      </c>
      <c r="D2" s="25">
        <f>SUMIFS(storage_capacity_2030,onshore_or_offshore,"Onshore storage",operational_category_medium,1,onshore_nuts1,A2)+IF(B2=2040,SUMIFS(storage_capacity_2040,onshore_or_offshore,"Onshore storage",operational_category_medium,2,onshore_nuts1,A2))+IF(B2=2050,SUMIFS(storage_capacity_2040,onshore_or_offshore,"Onshore storage",operational_category_medium,2,onshore_nuts1,A2))+IF(B2=2050,SUMIFS(storage_capacity_2050,onshore_or_offshore,"Onshore storage",operational_category_medium,3,onshore_nuts1,A2))</f>
        <v>0</v>
      </c>
      <c r="E2" s="25">
        <f>SUMIFS(storage_capacity_2030,onshore_or_offshore,"Onshore storage",operational_category_high,1,onshore_nuts1,A2)+IF(B2=2040,SUMIFS(storage_capacity_2040,onshore_or_offshore,"Onshore storage",operational_category_high,2,onshore_nuts1,A2))+IF(B2=2050,SUMIFS(storage_capacity_2040,onshore_or_offshore,"Onshore storage",operational_category_high,2,onshore_nuts1,A2))+IF(B2=2050,SUMIFS(storage_capacity_2050,onshore_or_offshore,"Onshore storage",operational_category_high,3,onshore_nuts1,A2))</f>
        <v>0</v>
      </c>
      <c r="F2" s="25" t="s">
        <v>27</v>
      </c>
      <c r="G2" s="22"/>
      <c r="H2" s="24"/>
    </row>
    <row r="3" spans="1:8">
      <c r="A3" s="22" t="s">
        <v>28</v>
      </c>
      <c r="B3" s="25">
        <v>2030</v>
      </c>
      <c r="C3" s="25">
        <f>SUMIFS(storage_capacity_2030,onshore_or_offshore,"Onshore storage",operational_category_low,1,onshore_nuts1,A3)+IF(B3=2040,SUMIFS(storage_capacity_2040,onshore_or_offshore,"Onshore storage",operational_category_low,2,onshore_nuts1,A3))+IF(B3=2050,SUMIFS(storage_capacity_2040,onshore_or_offshore,"Onshore storage",operational_category_low,2,onshore_nuts1,A3))+IF(B3=2050,SUMIFS(storage_capacity_2050,onshore_or_offshore,"Onshore storage",operational_category_low,3,onshore_nuts1,A3))</f>
        <v>0</v>
      </c>
      <c r="D3" s="25">
        <f>SUMIFS(storage_capacity_2030,onshore_or_offshore,"Onshore storage",operational_category_medium,1,onshore_nuts1,A3)+IF(B3=2040,SUMIFS(storage_capacity_2040,onshore_or_offshore,"Onshore storage",operational_category_medium,2,onshore_nuts1,A3))+IF(B3=2050,SUMIFS(storage_capacity_2040,onshore_or_offshore,"Onshore storage",operational_category_medium,2,onshore_nuts1,A3))+IF(B3=2050,SUMIFS(storage_capacity_2050,onshore_or_offshore,"Onshore storage",operational_category_medium,3,onshore_nuts1,A3))</f>
        <v>0</v>
      </c>
      <c r="E3" s="25">
        <f>SUMIFS(storage_capacity_2030,onshore_or_offshore,"Onshore storage",operational_category_high,1,onshore_nuts1,A3)+IF(B3=2040,SUMIFS(storage_capacity_2040,onshore_or_offshore,"Onshore storage",operational_category_high,2,onshore_nuts1,A3))+IF(B3=2050,SUMIFS(storage_capacity_2040,onshore_or_offshore,"Onshore storage",operational_category_high,2,onshore_nuts1,A3))+IF(B3=2050,SUMIFS(storage_capacity_2050,onshore_or_offshore,"Onshore storage",operational_category_high,3,onshore_nuts1,A3))</f>
        <v>0</v>
      </c>
      <c r="F3" s="25" t="s">
        <v>27</v>
      </c>
      <c r="G3" s="22"/>
      <c r="H3" s="24"/>
    </row>
    <row r="4" spans="1:8">
      <c r="A4" s="22" t="s">
        <v>29</v>
      </c>
      <c r="B4" s="25">
        <v>2030</v>
      </c>
      <c r="C4" s="25">
        <f>SUMIFS(storage_capacity_2030,onshore_or_offshore,"Onshore storage",operational_category_low,1,onshore_nuts1,A4)+IF(B4=2040,SUMIFS(storage_capacity_2040,onshore_or_offshore,"Onshore storage",operational_category_low,2,onshore_nuts1,A4))+IF(B4=2050,SUMIFS(storage_capacity_2040,onshore_or_offshore,"Onshore storage",operational_category_low,2,onshore_nuts1,A4))+IF(B4=2050,SUMIFS(storage_capacity_2050,onshore_or_offshore,"Onshore storage",operational_category_low,3,onshore_nuts1,A4))</f>
        <v>0</v>
      </c>
      <c r="D4" s="25">
        <f>SUMIFS(storage_capacity_2030,onshore_or_offshore,"Onshore storage",operational_category_medium,1,onshore_nuts1,A4)+IF(B4=2040,SUMIFS(storage_capacity_2040,onshore_or_offshore,"Onshore storage",operational_category_medium,2,onshore_nuts1,A4))+IF(B4=2050,SUMIFS(storage_capacity_2040,onshore_or_offshore,"Onshore storage",operational_category_medium,2,onshore_nuts1,A4))+IF(B4=2050,SUMIFS(storage_capacity_2050,onshore_or_offshore,"Onshore storage",operational_category_medium,3,onshore_nuts1,A4))</f>
        <v>0</v>
      </c>
      <c r="E4" s="25">
        <f>SUMIFS(storage_capacity_2030,onshore_or_offshore,"Onshore storage",operational_category_high,1,onshore_nuts1,A4)+IF(B4=2040,SUMIFS(storage_capacity_2040,onshore_or_offshore,"Onshore storage",operational_category_high,2,onshore_nuts1,A4))+IF(B4=2050,SUMIFS(storage_capacity_2040,onshore_or_offshore,"Onshore storage",operational_category_high,2,onshore_nuts1,A4))+IF(B4=2050,SUMIFS(storage_capacity_2050,onshore_or_offshore,"Onshore storage",operational_category_high,3,onshore_nuts1,A4))</f>
        <v>0</v>
      </c>
      <c r="F4" s="25" t="s">
        <v>27</v>
      </c>
      <c r="G4" s="22"/>
      <c r="H4" s="24"/>
    </row>
    <row r="5" spans="1:8">
      <c r="A5" s="22" t="s">
        <v>30</v>
      </c>
      <c r="B5" s="25">
        <v>2030</v>
      </c>
      <c r="C5" s="25">
        <f>SUMIFS(storage_capacity_2030,onshore_or_offshore,"Onshore storage",operational_category_low,1,onshore_nuts1,A5)+IF(B5=2040,SUMIFS(storage_capacity_2040,onshore_or_offshore,"Onshore storage",operational_category_low,2,onshore_nuts1,A5))+IF(B5=2050,SUMIFS(storage_capacity_2040,onshore_or_offshore,"Onshore storage",operational_category_low,2,onshore_nuts1,A5))+IF(B5=2050,SUMIFS(storage_capacity_2050,onshore_or_offshore,"Onshore storage",operational_category_low,3,onshore_nuts1,A5))</f>
        <v>0</v>
      </c>
      <c r="D5" s="25">
        <f>SUMIFS(storage_capacity_2030,onshore_or_offshore,"Onshore storage",operational_category_medium,1,onshore_nuts1,A5)+IF(B5=2040,SUMIFS(storage_capacity_2040,onshore_or_offshore,"Onshore storage",operational_category_medium,2,onshore_nuts1,A5))+IF(B5=2050,SUMIFS(storage_capacity_2040,onshore_or_offshore,"Onshore storage",operational_category_medium,2,onshore_nuts1,A5))+IF(B5=2050,SUMIFS(storage_capacity_2050,onshore_or_offshore,"Onshore storage",operational_category_medium,3,onshore_nuts1,A5))</f>
        <v>0</v>
      </c>
      <c r="E5" s="25">
        <f>SUMIFS(storage_capacity_2030,onshore_or_offshore,"Onshore storage",operational_category_high,1,onshore_nuts1,A5)+IF(B5=2040,SUMIFS(storage_capacity_2040,onshore_or_offshore,"Onshore storage",operational_category_high,2,onshore_nuts1,A5))+IF(B5=2050,SUMIFS(storage_capacity_2040,onshore_or_offshore,"Onshore storage",operational_category_high,2,onshore_nuts1,A5))+IF(B5=2050,SUMIFS(storage_capacity_2050,onshore_or_offshore,"Onshore storage",operational_category_high,3,onshore_nuts1,A5))</f>
        <v>0</v>
      </c>
      <c r="F5" s="25" t="s">
        <v>27</v>
      </c>
      <c r="G5" s="22"/>
      <c r="H5" s="24"/>
    </row>
    <row r="6" spans="1:8">
      <c r="A6" s="22" t="s">
        <v>31</v>
      </c>
      <c r="B6" s="25">
        <v>2030</v>
      </c>
      <c r="C6" s="25">
        <f>SUMIFS(storage_capacity_2030,onshore_or_offshore,"Onshore storage",operational_category_low,1,onshore_nuts1,A6)+IF(B6=2040,SUMIFS(storage_capacity_2040,onshore_or_offshore,"Onshore storage",operational_category_low,2,onshore_nuts1,A6))+IF(B6=2050,SUMIFS(storage_capacity_2040,onshore_or_offshore,"Onshore storage",operational_category_low,2,onshore_nuts1,A6))+IF(B6=2050,SUMIFS(storage_capacity_2050,onshore_or_offshore,"Onshore storage",operational_category_low,3,onshore_nuts1,A6))</f>
        <v>0</v>
      </c>
      <c r="D6" s="25">
        <f>SUMIFS(storage_capacity_2030,onshore_or_offshore,"Onshore storage",operational_category_medium,1,onshore_nuts1,A6)+IF(B6=2040,SUMIFS(storage_capacity_2040,onshore_or_offshore,"Onshore storage",operational_category_medium,2,onshore_nuts1,A6))+IF(B6=2050,SUMIFS(storage_capacity_2040,onshore_or_offshore,"Onshore storage",operational_category_medium,2,onshore_nuts1,A6))+IF(B6=2050,SUMIFS(storage_capacity_2050,onshore_or_offshore,"Onshore storage",operational_category_medium,3,onshore_nuts1,A6))</f>
        <v>0</v>
      </c>
      <c r="E6" s="25">
        <f>SUMIFS(storage_capacity_2030,onshore_or_offshore,"Onshore storage",operational_category_high,1,onshore_nuts1,A6)+IF(B6=2040,SUMIFS(storage_capacity_2040,onshore_or_offshore,"Onshore storage",operational_category_high,2,onshore_nuts1,A6))+IF(B6=2050,SUMIFS(storage_capacity_2040,onshore_or_offshore,"Onshore storage",operational_category_high,2,onshore_nuts1,A6))+IF(B6=2050,SUMIFS(storage_capacity_2050,onshore_or_offshore,"Onshore storage",operational_category_high,3,onshore_nuts1,A6))</f>
        <v>0</v>
      </c>
      <c r="F6" s="25" t="s">
        <v>27</v>
      </c>
      <c r="G6" s="22"/>
      <c r="H6" s="24"/>
    </row>
    <row r="7" spans="1:8">
      <c r="A7" s="22" t="s">
        <v>26</v>
      </c>
      <c r="B7" s="25">
        <v>2040</v>
      </c>
      <c r="C7" s="25">
        <f>SUMIFS(storage_capacity_2030,onshore_or_offshore,"Onshore storage",operational_category_low,1,onshore_nuts1,A7)+IF(B7=2040,SUMIFS(storage_capacity_2040,onshore_or_offshore,"Onshore storage",operational_category_low,2,onshore_nuts1,A7))+IF(B7=2050,SUMIFS(storage_capacity_2040,onshore_or_offshore,"Onshore storage",operational_category_low,2,onshore_nuts1,A7))+IF(B7=2050,SUMIFS(storage_capacity_2050,onshore_or_offshore,"Onshore storage",operational_category_low,3,onshore_nuts1,A7))</f>
        <v>0</v>
      </c>
      <c r="D7" s="25">
        <f>SUMIFS(storage_capacity_2030,onshore_or_offshore,"Onshore storage",operational_category_medium,1,onshore_nuts1,A7)+IF(B7=2040,SUMIFS(storage_capacity_2040,onshore_or_offshore,"Onshore storage",operational_category_medium,2,onshore_nuts1,A7))+IF(B7=2050,SUMIFS(storage_capacity_2040,onshore_or_offshore,"Onshore storage",operational_category_medium,2,onshore_nuts1,A7))+IF(B7=2050,SUMIFS(storage_capacity_2050,onshore_or_offshore,"Onshore storage",operational_category_medium,3,onshore_nuts1,A7))</f>
        <v>0</v>
      </c>
      <c r="E7" s="25">
        <f>SUMIFS(storage_capacity_2030,onshore_or_offshore,"Onshore storage",operational_category_high,1,onshore_nuts1,A7)+IF(B7=2040,SUMIFS(storage_capacity_2040,onshore_or_offshore,"Onshore storage",operational_category_high,2,onshore_nuts1,A7))+IF(B7=2050,SUMIFS(storage_capacity_2040,onshore_or_offshore,"Onshore storage",operational_category_high,2,onshore_nuts1,A7))+IF(B7=2050,SUMIFS(storage_capacity_2050,onshore_or_offshore,"Onshore storage",operational_category_high,3,onshore_nuts1,A7))</f>
        <v>25.5</v>
      </c>
      <c r="F7" s="25" t="s">
        <v>27</v>
      </c>
      <c r="G7" s="22"/>
      <c r="H7" s="24"/>
    </row>
    <row r="8" spans="1:8">
      <c r="A8" s="22" t="s">
        <v>28</v>
      </c>
      <c r="B8" s="25">
        <v>2040</v>
      </c>
      <c r="C8" s="25">
        <f>SUMIFS(storage_capacity_2030,onshore_or_offshore,"Onshore storage",operational_category_low,1,onshore_nuts1,A8)+IF(B8=2040,SUMIFS(storage_capacity_2040,onshore_or_offshore,"Onshore storage",operational_category_low,2,onshore_nuts1,A8))+IF(B8=2050,SUMIFS(storage_capacity_2040,onshore_or_offshore,"Onshore storage",operational_category_low,2,onshore_nuts1,A8))+IF(B8=2050,SUMIFS(storage_capacity_2050,onshore_or_offshore,"Onshore storage",operational_category_low,3,onshore_nuts1,A8))</f>
        <v>0</v>
      </c>
      <c r="D8" s="25">
        <f>SUMIFS(storage_capacity_2030,onshore_or_offshore,"Onshore storage",operational_category_medium,1,onshore_nuts1,A8)+IF(B8=2040,SUMIFS(storage_capacity_2040,onshore_or_offshore,"Onshore storage",operational_category_medium,2,onshore_nuts1,A8))+IF(B8=2050,SUMIFS(storage_capacity_2040,onshore_or_offshore,"Onshore storage",operational_category_medium,2,onshore_nuts1,A8))+IF(B8=2050,SUMIFS(storage_capacity_2050,onshore_or_offshore,"Onshore storage",operational_category_medium,3,onshore_nuts1,A8))</f>
        <v>0</v>
      </c>
      <c r="E8" s="25">
        <f>SUMIFS(storage_capacity_2030,onshore_or_offshore,"Onshore storage",operational_category_high,1,onshore_nuts1,A8)+IF(B8=2040,SUMIFS(storage_capacity_2040,onshore_or_offshore,"Onshore storage",operational_category_high,2,onshore_nuts1,A8))+IF(B8=2050,SUMIFS(storage_capacity_2040,onshore_or_offshore,"Onshore storage",operational_category_high,2,onshore_nuts1,A8))+IF(B8=2050,SUMIFS(storage_capacity_2050,onshore_or_offshore,"Onshore storage",operational_category_high,3,onshore_nuts1,A8))</f>
        <v>2.5</v>
      </c>
      <c r="F8" s="25" t="s">
        <v>27</v>
      </c>
      <c r="G8" s="22"/>
      <c r="H8" s="24"/>
    </row>
    <row r="9" spans="1:8">
      <c r="A9" s="22" t="s">
        <v>29</v>
      </c>
      <c r="B9" s="25">
        <v>2040</v>
      </c>
      <c r="C9" s="25">
        <f>SUMIFS(storage_capacity_2030,onshore_or_offshore,"Onshore storage",operational_category_low,1,onshore_nuts1,A9)+IF(B9=2040,SUMIFS(storage_capacity_2040,onshore_or_offshore,"Onshore storage",operational_category_low,2,onshore_nuts1,A9))+IF(B9=2050,SUMIFS(storage_capacity_2040,onshore_or_offshore,"Onshore storage",operational_category_low,2,onshore_nuts1,A9))+IF(B9=2050,SUMIFS(storage_capacity_2050,onshore_or_offshore,"Onshore storage",operational_category_low,3,onshore_nuts1,A9))</f>
        <v>0</v>
      </c>
      <c r="D9" s="25">
        <f>SUMIFS(storage_capacity_2030,onshore_or_offshore,"Onshore storage",operational_category_medium,1,onshore_nuts1,A9)+IF(B9=2040,SUMIFS(storage_capacity_2040,onshore_or_offshore,"Onshore storage",operational_category_medium,2,onshore_nuts1,A9))+IF(B9=2050,SUMIFS(storage_capacity_2040,onshore_or_offshore,"Onshore storage",operational_category_medium,2,onshore_nuts1,A9))+IF(B9=2050,SUMIFS(storage_capacity_2050,onshore_or_offshore,"Onshore storage",operational_category_medium,3,onshore_nuts1,A9))</f>
        <v>0</v>
      </c>
      <c r="E9" s="25">
        <f>SUMIFS(storage_capacity_2030,onshore_or_offshore,"Onshore storage",operational_category_high,1,onshore_nuts1,A9)+IF(B9=2040,SUMIFS(storage_capacity_2040,onshore_or_offshore,"Onshore storage",operational_category_high,2,onshore_nuts1,A9))+IF(B9=2050,SUMIFS(storage_capacity_2040,onshore_or_offshore,"Onshore storage",operational_category_high,2,onshore_nuts1,A9))+IF(B9=2050,SUMIFS(storage_capacity_2050,onshore_or_offshore,"Onshore storage",operational_category_high,3,onshore_nuts1,A9))</f>
        <v>0.6</v>
      </c>
      <c r="F9" s="25" t="s">
        <v>27</v>
      </c>
      <c r="G9" s="22"/>
      <c r="H9" s="24"/>
    </row>
    <row r="10" spans="1:8">
      <c r="A10" s="22" t="s">
        <v>30</v>
      </c>
      <c r="B10" s="25">
        <v>2040</v>
      </c>
      <c r="C10" s="25">
        <f>SUMIFS(storage_capacity_2030,onshore_or_offshore,"Onshore storage",operational_category_low,1,onshore_nuts1,A10)+IF(B10=2040,SUMIFS(storage_capacity_2040,onshore_or_offshore,"Onshore storage",operational_category_low,2,onshore_nuts1,A10))+IF(B10=2050,SUMIFS(storage_capacity_2040,onshore_or_offshore,"Onshore storage",operational_category_low,2,onshore_nuts1,A10))+IF(B10=2050,SUMIFS(storage_capacity_2050,onshore_or_offshore,"Onshore storage",operational_category_low,3,onshore_nuts1,A10))</f>
        <v>0</v>
      </c>
      <c r="D10" s="25">
        <f>SUMIFS(storage_capacity_2030,onshore_or_offshore,"Onshore storage",operational_category_medium,1,onshore_nuts1,A10)+IF(B10=2040,SUMIFS(storage_capacity_2040,onshore_or_offshore,"Onshore storage",operational_category_medium,2,onshore_nuts1,A10))+IF(B10=2050,SUMIFS(storage_capacity_2040,onshore_or_offshore,"Onshore storage",operational_category_medium,2,onshore_nuts1,A10))+IF(B10=2050,SUMIFS(storage_capacity_2050,onshore_or_offshore,"Onshore storage",operational_category_medium,3,onshore_nuts1,A10))</f>
        <v>0</v>
      </c>
      <c r="E10" s="25">
        <f>SUMIFS(storage_capacity_2030,onshore_or_offshore,"Onshore storage",operational_category_high,1,onshore_nuts1,A10)+IF(B10=2040,SUMIFS(storage_capacity_2040,onshore_or_offshore,"Onshore storage",operational_category_high,2,onshore_nuts1,A10))+IF(B10=2050,SUMIFS(storage_capacity_2040,onshore_or_offshore,"Onshore storage",operational_category_high,2,onshore_nuts1,A10))+IF(B10=2050,SUMIFS(storage_capacity_2050,onshore_or_offshore,"Onshore storage",operational_category_high,3,onshore_nuts1,A10))</f>
        <v>1.5</v>
      </c>
      <c r="F10" s="25" t="s">
        <v>27</v>
      </c>
      <c r="G10" s="22"/>
      <c r="H10" s="24"/>
    </row>
    <row r="11" spans="1:8">
      <c r="A11" s="22" t="s">
        <v>31</v>
      </c>
      <c r="B11" s="25">
        <v>2040</v>
      </c>
      <c r="C11" s="25">
        <f>SUMIFS(storage_capacity_2030,onshore_or_offshore,"Onshore storage",operational_category_low,1,onshore_nuts1,A11)+IF(B11=2040,SUMIFS(storage_capacity_2040,onshore_or_offshore,"Onshore storage",operational_category_low,2,onshore_nuts1,A11))+IF(B11=2050,SUMIFS(storage_capacity_2040,onshore_or_offshore,"Onshore storage",operational_category_low,2,onshore_nuts1,A11))+IF(B11=2050,SUMIFS(storage_capacity_2050,onshore_or_offshore,"Onshore storage",operational_category_low,3,onshore_nuts1,A11))</f>
        <v>0</v>
      </c>
      <c r="D11" s="25">
        <f>SUMIFS(storage_capacity_2030,onshore_or_offshore,"Onshore storage",operational_category_medium,1,onshore_nuts1,A11)+IF(B11=2040,SUMIFS(storage_capacity_2040,onshore_or_offshore,"Onshore storage",operational_category_medium,2,onshore_nuts1,A11))+IF(B11=2050,SUMIFS(storage_capacity_2040,onshore_or_offshore,"Onshore storage",operational_category_medium,2,onshore_nuts1,A11))+IF(B11=2050,SUMIFS(storage_capacity_2050,onshore_or_offshore,"Onshore storage",operational_category_medium,3,onshore_nuts1,A11))</f>
        <v>0</v>
      </c>
      <c r="E11" s="25">
        <f>SUMIFS(storage_capacity_2030,onshore_or_offshore,"Onshore storage",operational_category_high,1,onshore_nuts1,A11)+IF(B11=2040,SUMIFS(storage_capacity_2040,onshore_or_offshore,"Onshore storage",operational_category_high,2,onshore_nuts1,A11))+IF(B11=2050,SUMIFS(storage_capacity_2040,onshore_or_offshore,"Onshore storage",operational_category_high,2,onshore_nuts1,A11))+IF(B11=2050,SUMIFS(storage_capacity_2050,onshore_or_offshore,"Onshore storage",operational_category_high,3,onshore_nuts1,A11))</f>
        <v>1.5</v>
      </c>
      <c r="F11" s="25" t="s">
        <v>27</v>
      </c>
      <c r="G11" s="22"/>
      <c r="H11" s="24"/>
    </row>
    <row r="12" spans="1:8">
      <c r="A12" s="22" t="s">
        <v>26</v>
      </c>
      <c r="B12" s="25">
        <v>2050</v>
      </c>
      <c r="C12" s="25">
        <f>SUMIFS(storage_capacity_2030,onshore_or_offshore,"Onshore storage",operational_category_low,1,onshore_nuts1,A12)+IF(B12=2040,SUMIFS(storage_capacity_2040,onshore_or_offshore,"Onshore storage",operational_category_low,2,onshore_nuts1,A12))+IF(B12=2050,SUMIFS(storage_capacity_2040,onshore_or_offshore,"Onshore storage",operational_category_low,2,onshore_nuts1,A12))+IF(B12=2050,SUMIFS(storage_capacity_2050,onshore_or_offshore,"Onshore storage",operational_category_low,3,onshore_nuts1,A12))</f>
        <v>0</v>
      </c>
      <c r="D12" s="25">
        <f>SUMIFS(storage_capacity_2030,onshore_or_offshore,"Onshore storage",operational_category_medium,1,onshore_nuts1,A12)+IF(B12=2040,SUMIFS(storage_capacity_2040,onshore_or_offshore,"Onshore storage",operational_category_medium,2,onshore_nuts1,A12))+IF(B12=2050,SUMIFS(storage_capacity_2040,onshore_or_offshore,"Onshore storage",operational_category_medium,2,onshore_nuts1,A12))+IF(B12=2050,SUMIFS(storage_capacity_2050,onshore_or_offshore,"Onshore storage",operational_category_medium,3,onshore_nuts1,A12))</f>
        <v>25.5</v>
      </c>
      <c r="E12" s="25">
        <f>SUMIFS(storage_capacity_2030,onshore_or_offshore,"Onshore storage",operational_category_high,1,onshore_nuts1,A12)+IF(B12=2040,SUMIFS(storage_capacity_2040,onshore_or_offshore,"Onshore storage",operational_category_high,2,onshore_nuts1,A12))+IF(B12=2050,SUMIFS(storage_capacity_2040,onshore_or_offshore,"Onshore storage",operational_category_high,2,onshore_nuts1,A12))+IF(B12=2050,SUMIFS(storage_capacity_2050,onshore_or_offshore,"Onshore storage",operational_category_high,3,onshore_nuts1,A12))</f>
        <v>25.5</v>
      </c>
      <c r="F12" s="25" t="s">
        <v>27</v>
      </c>
      <c r="G12" s="22"/>
      <c r="H12" s="24"/>
    </row>
    <row r="13" spans="1:8">
      <c r="A13" s="22" t="s">
        <v>28</v>
      </c>
      <c r="B13" s="25">
        <v>2050</v>
      </c>
      <c r="C13" s="25">
        <f>SUMIFS(storage_capacity_2030,onshore_or_offshore,"Onshore storage",operational_category_low,1,onshore_nuts1,A13)+IF(B13=2040,SUMIFS(storage_capacity_2040,onshore_or_offshore,"Onshore storage",operational_category_low,2,onshore_nuts1,A13))+IF(B13=2050,SUMIFS(storage_capacity_2040,onshore_or_offshore,"Onshore storage",operational_category_low,2,onshore_nuts1,A13))+IF(B13=2050,SUMIFS(storage_capacity_2050,onshore_or_offshore,"Onshore storage",operational_category_low,3,onshore_nuts1,A13))</f>
        <v>0</v>
      </c>
      <c r="D13" s="25">
        <f>SUMIFS(storage_capacity_2030,onshore_or_offshore,"Onshore storage",operational_category_medium,1,onshore_nuts1,A13)+IF(B13=2040,SUMIFS(storage_capacity_2040,onshore_or_offshore,"Onshore storage",operational_category_medium,2,onshore_nuts1,A13))+IF(B13=2050,SUMIFS(storage_capacity_2040,onshore_or_offshore,"Onshore storage",operational_category_medium,2,onshore_nuts1,A13))+IF(B13=2050,SUMIFS(storage_capacity_2050,onshore_or_offshore,"Onshore storage",operational_category_medium,3,onshore_nuts1,A13))</f>
        <v>2.5</v>
      </c>
      <c r="E13" s="25">
        <f>SUMIFS(storage_capacity_2030,onshore_or_offshore,"Onshore storage",operational_category_high,1,onshore_nuts1,A13)+IF(B13=2040,SUMIFS(storage_capacity_2040,onshore_or_offshore,"Onshore storage",operational_category_high,2,onshore_nuts1,A13))+IF(B13=2050,SUMIFS(storage_capacity_2040,onshore_or_offshore,"Onshore storage",operational_category_high,2,onshore_nuts1,A13))+IF(B13=2050,SUMIFS(storage_capacity_2050,onshore_or_offshore,"Onshore storage",operational_category_high,3,onshore_nuts1,A13))</f>
        <v>2.5</v>
      </c>
      <c r="F13" s="25" t="s">
        <v>27</v>
      </c>
      <c r="G13" s="22"/>
      <c r="H13" s="24"/>
    </row>
    <row r="14" spans="1:8">
      <c r="A14" s="22" t="s">
        <v>29</v>
      </c>
      <c r="B14" s="25">
        <v>2050</v>
      </c>
      <c r="C14" s="25">
        <f>SUMIFS(storage_capacity_2030,onshore_or_offshore,"Onshore storage",operational_category_low,1,onshore_nuts1,A14)+IF(B14=2040,SUMIFS(storage_capacity_2040,onshore_or_offshore,"Onshore storage",operational_category_low,2,onshore_nuts1,A14))+IF(B14=2050,SUMIFS(storage_capacity_2040,onshore_or_offshore,"Onshore storage",operational_category_low,2,onshore_nuts1,A14))+IF(B14=2050,SUMIFS(storage_capacity_2050,onshore_or_offshore,"Onshore storage",operational_category_low,3,onshore_nuts1,A14))</f>
        <v>0</v>
      </c>
      <c r="D14" s="25">
        <f>SUMIFS(storage_capacity_2030,onshore_or_offshore,"Onshore storage",operational_category_medium,1,onshore_nuts1,A14)+IF(B14=2040,SUMIFS(storage_capacity_2040,onshore_or_offshore,"Onshore storage",operational_category_medium,2,onshore_nuts1,A14))+IF(B14=2050,SUMIFS(storage_capacity_2040,onshore_or_offshore,"Onshore storage",operational_category_medium,2,onshore_nuts1,A14))+IF(B14=2050,SUMIFS(storage_capacity_2050,onshore_or_offshore,"Onshore storage",operational_category_medium,3,onshore_nuts1,A14))</f>
        <v>0.6</v>
      </c>
      <c r="E14" s="25">
        <f>SUMIFS(storage_capacity_2030,onshore_or_offshore,"Onshore storage",operational_category_high,1,onshore_nuts1,A14)+IF(B14=2040,SUMIFS(storage_capacity_2040,onshore_or_offshore,"Onshore storage",operational_category_high,2,onshore_nuts1,A14))+IF(B14=2050,SUMIFS(storage_capacity_2040,onshore_or_offshore,"Onshore storage",operational_category_high,2,onshore_nuts1,A14))+IF(B14=2050,SUMIFS(storage_capacity_2050,onshore_or_offshore,"Onshore storage",operational_category_high,3,onshore_nuts1,A14))</f>
        <v>0.6</v>
      </c>
      <c r="F14" s="25" t="s">
        <v>27</v>
      </c>
      <c r="G14" s="22"/>
      <c r="H14" s="24"/>
    </row>
    <row r="15" spans="1:8">
      <c r="A15" s="22" t="s">
        <v>30</v>
      </c>
      <c r="B15" s="25">
        <v>2050</v>
      </c>
      <c r="C15" s="25">
        <f>SUMIFS(storage_capacity_2030,onshore_or_offshore,"Onshore storage",operational_category_low,1,onshore_nuts1,A15)+IF(B15=2040,SUMIFS(storage_capacity_2040,onshore_or_offshore,"Onshore storage",operational_category_low,2,onshore_nuts1,A15))+IF(B15=2050,SUMIFS(storage_capacity_2040,onshore_or_offshore,"Onshore storage",operational_category_low,2,onshore_nuts1,A15))+IF(B15=2050,SUMIFS(storage_capacity_2050,onshore_or_offshore,"Onshore storage",operational_category_low,3,onshore_nuts1,A15))</f>
        <v>0</v>
      </c>
      <c r="D15" s="25">
        <f>SUMIFS(storage_capacity_2030,onshore_or_offshore,"Onshore storage",operational_category_medium,1,onshore_nuts1,A15)+IF(B15=2040,SUMIFS(storage_capacity_2040,onshore_or_offshore,"Onshore storage",operational_category_medium,2,onshore_nuts1,A15))+IF(B15=2050,SUMIFS(storage_capacity_2040,onshore_or_offshore,"Onshore storage",operational_category_medium,2,onshore_nuts1,A15))+IF(B15=2050,SUMIFS(storage_capacity_2050,onshore_or_offshore,"Onshore storage",operational_category_medium,3,onshore_nuts1,A15))</f>
        <v>1.5</v>
      </c>
      <c r="E15" s="25">
        <f>SUMIFS(storage_capacity_2030,onshore_or_offshore,"Onshore storage",operational_category_high,1,onshore_nuts1,A15)+IF(B15=2040,SUMIFS(storage_capacity_2040,onshore_or_offshore,"Onshore storage",operational_category_high,2,onshore_nuts1,A15))+IF(B15=2050,SUMIFS(storage_capacity_2040,onshore_or_offshore,"Onshore storage",operational_category_high,2,onshore_nuts1,A15))+IF(B15=2050,SUMIFS(storage_capacity_2050,onshore_or_offshore,"Onshore storage",operational_category_high,3,onshore_nuts1,A15))</f>
        <v>1.5</v>
      </c>
      <c r="F15" s="25" t="s">
        <v>27</v>
      </c>
      <c r="G15" s="22"/>
      <c r="H15" s="24"/>
    </row>
    <row r="16" spans="1:8">
      <c r="A16" s="22" t="s">
        <v>31</v>
      </c>
      <c r="B16" s="25">
        <v>2050</v>
      </c>
      <c r="C16" s="25">
        <f>SUMIFS(storage_capacity_2030,onshore_or_offshore,"Onshore storage",operational_category_low,1,onshore_nuts1,A16)+IF(B16=2040,SUMIFS(storage_capacity_2040,onshore_or_offshore,"Onshore storage",operational_category_low,2,onshore_nuts1,A16))+IF(B16=2050,SUMIFS(storage_capacity_2040,onshore_or_offshore,"Onshore storage",operational_category_low,2,onshore_nuts1,A16))+IF(B16=2050,SUMIFS(storage_capacity_2050,onshore_or_offshore,"Onshore storage",operational_category_low,3,onshore_nuts1,A16))</f>
        <v>0</v>
      </c>
      <c r="D16" s="25">
        <f>SUMIFS(storage_capacity_2030,onshore_or_offshore,"Onshore storage",operational_category_medium,1,onshore_nuts1,A16)+IF(B16=2040,SUMIFS(storage_capacity_2040,onshore_or_offshore,"Onshore storage",operational_category_medium,2,onshore_nuts1,A16))+IF(B16=2050,SUMIFS(storage_capacity_2040,onshore_or_offshore,"Onshore storage",operational_category_medium,2,onshore_nuts1,A16))+IF(B16=2050,SUMIFS(storage_capacity_2050,onshore_or_offshore,"Onshore storage",operational_category_medium,3,onshore_nuts1,A16))</f>
        <v>1.5</v>
      </c>
      <c r="E16" s="25">
        <f>SUMIFS(storage_capacity_2030,onshore_or_offshore,"Onshore storage",operational_category_high,1,onshore_nuts1,A16)+IF(B16=2040,SUMIFS(storage_capacity_2040,onshore_or_offshore,"Onshore storage",operational_category_high,2,onshore_nuts1,A16))+IF(B16=2050,SUMIFS(storage_capacity_2040,onshore_or_offshore,"Onshore storage",operational_category_high,2,onshore_nuts1,A16))+IF(B16=2050,SUMIFS(storage_capacity_2050,onshore_or_offshore,"Onshore storage",operational_category_high,3,onshore_nuts1,A16))</f>
        <v>1.5</v>
      </c>
      <c r="F16" s="25" t="s">
        <v>27</v>
      </c>
      <c r="G16" s="22"/>
      <c r="H16" s="24"/>
    </row>
    <row r="17" spans="1:8">
      <c r="A17" s="22"/>
      <c r="B17" s="22"/>
      <c r="C17" s="22"/>
      <c r="D17" s="22"/>
      <c r="E17" s="22"/>
      <c r="F17" s="22"/>
      <c r="G17" s="22"/>
      <c r="H17" s="24"/>
    </row>
    <row r="18" spans="1:8">
      <c r="A18" s="24"/>
      <c r="B18" s="24"/>
      <c r="C18" s="24"/>
      <c r="D18" s="24"/>
      <c r="E18" s="24"/>
      <c r="F18" s="24"/>
      <c r="G18" s="24"/>
      <c r="H18" s="24"/>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DD99-A4A8-4579-89CC-45A182740122}">
  <sheetPr>
    <tabColor rgb="FFFFC000"/>
  </sheetPr>
  <dimension ref="A1:I58"/>
  <sheetViews>
    <sheetView tabSelected="1" workbookViewId="0">
      <selection activeCell="K9" sqref="K9"/>
    </sheetView>
  </sheetViews>
  <sheetFormatPr defaultRowHeight="15"/>
  <cols>
    <col min="3" max="3" width="28.140625" style="22" bestFit="1" customWidth="1"/>
    <col min="4" max="5" width="5" style="22" bestFit="1" customWidth="1"/>
    <col min="6" max="6" width="8.28515625" style="22" bestFit="1" customWidth="1"/>
    <col min="7" max="7" width="4.85546875" style="22" bestFit="1" customWidth="1"/>
    <col min="8" max="8" width="9.7109375" style="22" bestFit="1" customWidth="1"/>
    <col min="9" max="9" width="9.140625" style="22"/>
  </cols>
  <sheetData>
    <row r="1" spans="1:8">
      <c r="A1" t="s">
        <v>32</v>
      </c>
      <c r="B1" t="s">
        <v>20</v>
      </c>
      <c r="C1" s="22" t="s">
        <v>33</v>
      </c>
      <c r="D1" s="23" t="s">
        <v>21</v>
      </c>
      <c r="E1" s="23" t="s">
        <v>22</v>
      </c>
      <c r="F1" s="23" t="s">
        <v>23</v>
      </c>
      <c r="G1" s="23" t="s">
        <v>24</v>
      </c>
      <c r="H1" s="23" t="s">
        <v>25</v>
      </c>
    </row>
    <row r="2" spans="1:8">
      <c r="A2">
        <f>VLOOKUP($C2,offshore_nodes!$A$2:$C$20,3,FALSE)</f>
        <v>1</v>
      </c>
      <c r="B2" t="str">
        <f>VLOOKUP(C2,Table2[[OFF3]:[PECD]],2,FALSE)</f>
        <v>DE</v>
      </c>
      <c r="C2" s="22" t="s">
        <v>34</v>
      </c>
      <c r="D2" s="25">
        <v>2030</v>
      </c>
      <c r="E2" s="25">
        <f>SUMIFS(storage_capacity_2030,onshore_or_offshore,"Offshore storage",operational_category_low,1,offshore_region,C2)+IF(D2=2040,SUMIFS(storage_capacity_2040,onshore_or_offshore,"Offshore storage",operational_category_low,2,offshore_region,C2))+IF(D2=2050,SUMIFS(storage_capacity_2040,onshore_or_offshore,"Offshore storage",operational_category_low,2,offshore_region,C2))+IF(D2=2050,SUMIFS(storage_capacity_2050,onshore_or_offshore,"Offshore storage",operational_category_low,3,offshore_region,C2))</f>
        <v>0</v>
      </c>
      <c r="F2" s="25">
        <f>SUMIFS(storage_capacity_2030,onshore_or_offshore,"Offshore storage",operational_category_medium,1,offshore_region,C2)+IF(D2=2040,SUMIFS(storage_capacity_2040,onshore_or_offshore,"Offshore storage",operational_category_medium,2,offshore_region,C2))+IF(D2=2050,SUMIFS(storage_capacity_2040,onshore_or_offshore,"Offshore storage",operational_category_medium,2,offshore_region,C2))+IF(D2=2050,SUMIFS(storage_capacity_2050,onshore_or_offshore,"Offshore storage",operational_category_medium,3,offshore_region,C2))</f>
        <v>0</v>
      </c>
      <c r="G2" s="25">
        <f>SUMIFS(storage_capacity_2030,onshore_or_offshore,"Offshore storage",operational_category_high,1,offshore_region,C2)+IF(D2=2040,SUMIFS(storage_capacity_2040,onshore_or_offshore,"Offshore storage",operational_category_high,2,offshore_region,C2))+IF(D2=2050,SUMIFS(storage_capacity_2040,onshore_or_offshore,"Offshore storage",operational_category_high,2,offshore_region,C2))+IF(D2=2050,SUMIFS(storage_capacity_2050,onshore_or_offshore,"Offshore storage",operational_category_high,3,offshore_region,C2))</f>
        <v>0</v>
      </c>
      <c r="H2" s="25" t="s">
        <v>27</v>
      </c>
    </row>
    <row r="3" spans="1:8">
      <c r="A3">
        <f>VLOOKUP($C3,offshore_nodes!$A$2:$C$20,3,FALSE)</f>
        <v>1</v>
      </c>
      <c r="B3" t="str">
        <f>VLOOKUP(C3,Table2[[OFF3]:[PECD]],2,FALSE)</f>
        <v>DK</v>
      </c>
      <c r="C3" s="22" t="s">
        <v>35</v>
      </c>
      <c r="D3" s="25">
        <v>2030</v>
      </c>
      <c r="E3" s="25">
        <f>SUMIFS(storage_capacity_2030,onshore_or_offshore,"Offshore storage",operational_category_low,1,offshore_region,C3)+IF(D3=2040,SUMIFS(storage_capacity_2040,onshore_or_offshore,"Offshore storage",operational_category_low,2,offshore_region,C3))+IF(D3=2050,SUMIFS(storage_capacity_2040,onshore_or_offshore,"Offshore storage",operational_category_low,2,offshore_region,C3))+IF(D3=2050,SUMIFS(storage_capacity_2050,onshore_or_offshore,"Offshore storage",operational_category_low,3,offshore_region,C3))</f>
        <v>11</v>
      </c>
      <c r="F3" s="25">
        <f>SUMIFS(storage_capacity_2030,onshore_or_offshore,"Offshore storage",operational_category_medium,1,offshore_region,C3)+IF(D3=2040,SUMIFS(storage_capacity_2040,onshore_or_offshore,"Offshore storage",operational_category_medium,2,offshore_region,C3))+IF(D3=2050,SUMIFS(storage_capacity_2040,onshore_or_offshore,"Offshore storage",operational_category_medium,2,offshore_region,C3))+IF(D3=2050,SUMIFS(storage_capacity_2050,onshore_or_offshore,"Offshore storage",operational_category_medium,3,offshore_region,C3))</f>
        <v>11</v>
      </c>
      <c r="G3" s="25">
        <f>SUMIFS(storage_capacity_2030,onshore_or_offshore,"Offshore storage",operational_category_high,1,offshore_region,C3)+IF(D3=2040,SUMIFS(storage_capacity_2040,onshore_or_offshore,"Offshore storage",operational_category_high,2,offshore_region,C3))+IF(D3=2050,SUMIFS(storage_capacity_2040,onshore_or_offshore,"Offshore storage",operational_category_high,2,offshore_region,C3))+IF(D3=2050,SUMIFS(storage_capacity_2050,onshore_or_offshore,"Offshore storage",operational_category_high,3,offshore_region,C3))</f>
        <v>11</v>
      </c>
      <c r="H3" s="25" t="s">
        <v>27</v>
      </c>
    </row>
    <row r="4" spans="1:8">
      <c r="A4">
        <f>VLOOKUP($C4,offshore_nodes!$A$2:$C$20,3,FALSE)</f>
        <v>1</v>
      </c>
      <c r="B4" t="str">
        <f>VLOOKUP(C4,Table2[[OFF3]:[PECD]],2,FALSE)</f>
        <v>ES</v>
      </c>
      <c r="C4" s="22" t="s">
        <v>36</v>
      </c>
      <c r="D4" s="25">
        <v>2030</v>
      </c>
      <c r="E4" s="25">
        <f>SUMIFS(storage_capacity_2030,onshore_or_offshore,"Offshore storage",operational_category_low,1,offshore_region,C4)+IF(D4=2040,SUMIFS(storage_capacity_2040,onshore_or_offshore,"Offshore storage",operational_category_low,2,offshore_region,C4))+IF(D4=2050,SUMIFS(storage_capacity_2040,onshore_or_offshore,"Offshore storage",operational_category_low,2,offshore_region,C4))+IF(D4=2050,SUMIFS(storage_capacity_2050,onshore_or_offshore,"Offshore storage",operational_category_low,3,offshore_region,C4))</f>
        <v>0</v>
      </c>
      <c r="F4" s="25">
        <f>SUMIFS(storage_capacity_2030,onshore_or_offshore,"Offshore storage",operational_category_medium,1,offshore_region,C4)+IF(D4=2040,SUMIFS(storage_capacity_2040,onshore_or_offshore,"Offshore storage",operational_category_medium,2,offshore_region,C4))+IF(D4=2050,SUMIFS(storage_capacity_2040,onshore_or_offshore,"Offshore storage",operational_category_medium,2,offshore_region,C4))+IF(D4=2050,SUMIFS(storage_capacity_2050,onshore_or_offshore,"Offshore storage",operational_category_medium,3,offshore_region,C4))</f>
        <v>0</v>
      </c>
      <c r="G4" s="25">
        <f>SUMIFS(storage_capacity_2030,onshore_or_offshore,"Offshore storage",operational_category_high,1,offshore_region,C4)+IF(D4=2040,SUMIFS(storage_capacity_2040,onshore_or_offshore,"Offshore storage",operational_category_high,2,offshore_region,C4))+IF(D4=2050,SUMIFS(storage_capacity_2040,onshore_or_offshore,"Offshore storage",operational_category_high,2,offshore_region,C4))+IF(D4=2050,SUMIFS(storage_capacity_2050,onshore_or_offshore,"Offshore storage",operational_category_high,3,offshore_region,C4))</f>
        <v>0</v>
      </c>
      <c r="H4" s="25" t="s">
        <v>27</v>
      </c>
    </row>
    <row r="5" spans="1:8">
      <c r="A5">
        <f>VLOOKUP($C5,offshore_nodes!$A$2:$C$20,3,FALSE)</f>
        <v>1</v>
      </c>
      <c r="B5" t="str">
        <f>VLOOKUP(C5,Table2[[OFF3]:[PECD]],2,FALSE)</f>
        <v>GR</v>
      </c>
      <c r="C5" s="22" t="s">
        <v>37</v>
      </c>
      <c r="D5" s="25">
        <v>2030</v>
      </c>
      <c r="E5" s="25">
        <f>SUMIFS(storage_capacity_2030,onshore_or_offshore,"Offshore storage",operational_category_low,1,offshore_region,C5)+IF(D5=2040,SUMIFS(storage_capacity_2040,onshore_or_offshore,"Offshore storage",operational_category_low,2,offshore_region,C5))+IF(D5=2050,SUMIFS(storage_capacity_2040,onshore_or_offshore,"Offshore storage",operational_category_low,2,offshore_region,C5))+IF(D5=2050,SUMIFS(storage_capacity_2050,onshore_or_offshore,"Offshore storage",operational_category_low,3,offshore_region,C5))</f>
        <v>2.5</v>
      </c>
      <c r="F5" s="25">
        <f>SUMIFS(storage_capacity_2030,onshore_or_offshore,"Offshore storage",operational_category_medium,1,offshore_region,C5)+IF(D5=2040,SUMIFS(storage_capacity_2040,onshore_or_offshore,"Offshore storage",operational_category_medium,2,offshore_region,C5))+IF(D5=2050,SUMIFS(storage_capacity_2040,onshore_or_offshore,"Offshore storage",operational_category_medium,2,offshore_region,C5))+IF(D5=2050,SUMIFS(storage_capacity_2050,onshore_or_offshore,"Offshore storage",operational_category_medium,3,offshore_region,C5))</f>
        <v>2.5</v>
      </c>
      <c r="G5" s="25">
        <f>SUMIFS(storage_capacity_2030,onshore_or_offshore,"Offshore storage",operational_category_high,1,offshore_region,C5)+IF(D5=2040,SUMIFS(storage_capacity_2040,onshore_or_offshore,"Offshore storage",operational_category_high,2,offshore_region,C5))+IF(D5=2050,SUMIFS(storage_capacity_2040,onshore_or_offshore,"Offshore storage",operational_category_high,2,offshore_region,C5))+IF(D5=2050,SUMIFS(storage_capacity_2050,onshore_or_offshore,"Offshore storage",operational_category_high,3,offshore_region,C5))</f>
        <v>2.5</v>
      </c>
      <c r="H5" s="25" t="s">
        <v>27</v>
      </c>
    </row>
    <row r="6" spans="1:8">
      <c r="A6">
        <f>VLOOKUP($C6,offshore_nodes!$A$2:$C$20,3,FALSE)</f>
        <v>1</v>
      </c>
      <c r="B6" t="str">
        <f>VLOOKUP(C6,Table2[[OFF3]:[PECD]],2,FALSE)</f>
        <v>IE</v>
      </c>
      <c r="C6" s="22" t="s">
        <v>38</v>
      </c>
      <c r="D6" s="25">
        <v>2030</v>
      </c>
      <c r="E6" s="25">
        <f>SUMIFS(storage_capacity_2030,onshore_or_offshore,"Offshore storage",operational_category_low,1,offshore_region,C6)+IF(D6=2040,SUMIFS(storage_capacity_2040,onshore_or_offshore,"Offshore storage",operational_category_low,2,offshore_region,C6))+IF(D6=2050,SUMIFS(storage_capacity_2040,onshore_or_offshore,"Offshore storage",operational_category_low,2,offshore_region,C6))+IF(D6=2050,SUMIFS(storage_capacity_2050,onshore_or_offshore,"Offshore storage",operational_category_low,3,offshore_region,C6))</f>
        <v>0</v>
      </c>
      <c r="F6" s="25">
        <f>SUMIFS(storage_capacity_2030,onshore_or_offshore,"Offshore storage",operational_category_medium,1,offshore_region,C6)+IF(D6=2040,SUMIFS(storage_capacity_2040,onshore_or_offshore,"Offshore storage",operational_category_medium,2,offshore_region,C6))+IF(D6=2050,SUMIFS(storage_capacity_2040,onshore_or_offshore,"Offshore storage",operational_category_medium,2,offshore_region,C6))+IF(D6=2050,SUMIFS(storage_capacity_2050,onshore_or_offshore,"Offshore storage",operational_category_medium,3,offshore_region,C6))</f>
        <v>0</v>
      </c>
      <c r="G6" s="25">
        <f>SUMIFS(storage_capacity_2030,onshore_or_offshore,"Offshore storage",operational_category_high,1,offshore_region,C6)+IF(D6=2040,SUMIFS(storage_capacity_2040,onshore_or_offshore,"Offshore storage",operational_category_high,2,offshore_region,C6))+IF(D6=2050,SUMIFS(storage_capacity_2040,onshore_or_offshore,"Offshore storage",operational_category_high,2,offshore_region,C6))+IF(D6=2050,SUMIFS(storage_capacity_2050,onshore_or_offshore,"Offshore storage",operational_category_high,3,offshore_region,C6))</f>
        <v>0</v>
      </c>
      <c r="H6" s="25" t="s">
        <v>27</v>
      </c>
    </row>
    <row r="7" spans="1:8">
      <c r="A7">
        <f>VLOOKUP($C7,offshore_nodes!$A$2:$C$20,3,FALSE)</f>
        <v>1</v>
      </c>
      <c r="B7" t="str">
        <f>VLOOKUP(C7,Table2[[OFF3]:[PECD]],2,FALSE)</f>
        <v>IT</v>
      </c>
      <c r="C7" s="22" t="s">
        <v>39</v>
      </c>
      <c r="D7" s="25">
        <v>2030</v>
      </c>
      <c r="E7" s="25">
        <f>SUMIFS(storage_capacity_2030,onshore_or_offshore,"Offshore storage",operational_category_low,1,offshore_region,C7)+IF(D7=2040,SUMIFS(storage_capacity_2040,onshore_or_offshore,"Offshore storage",operational_category_low,2,offshore_region,C7))+IF(D7=2050,SUMIFS(storage_capacity_2040,onshore_or_offshore,"Offshore storage",operational_category_low,2,offshore_region,C7))+IF(D7=2050,SUMIFS(storage_capacity_2050,onshore_or_offshore,"Offshore storage",operational_category_low,3,offshore_region,C7))</f>
        <v>4</v>
      </c>
      <c r="F7" s="25">
        <f>SUMIFS(storage_capacity_2030,onshore_or_offshore,"Offshore storage",operational_category_medium,1,offshore_region,C7)+IF(D7=2040,SUMIFS(storage_capacity_2040,onshore_or_offshore,"Offshore storage",operational_category_medium,2,offshore_region,C7))+IF(D7=2050,SUMIFS(storage_capacity_2040,onshore_or_offshore,"Offshore storage",operational_category_medium,2,offshore_region,C7))+IF(D7=2050,SUMIFS(storage_capacity_2050,onshore_or_offshore,"Offshore storage",operational_category_medium,3,offshore_region,C7))</f>
        <v>4</v>
      </c>
      <c r="G7" s="25">
        <f>SUMIFS(storage_capacity_2030,onshore_or_offshore,"Offshore storage",operational_category_high,1,offshore_region,C7)+IF(D7=2040,SUMIFS(storage_capacity_2040,onshore_or_offshore,"Offshore storage",operational_category_high,2,offshore_region,C7))+IF(D7=2050,SUMIFS(storage_capacity_2040,onshore_or_offshore,"Offshore storage",operational_category_high,2,offshore_region,C7))+IF(D7=2050,SUMIFS(storage_capacity_2050,onshore_or_offshore,"Offshore storage",operational_category_high,3,offshore_region,C7))</f>
        <v>4</v>
      </c>
      <c r="H7" s="25" t="s">
        <v>27</v>
      </c>
    </row>
    <row r="8" spans="1:8">
      <c r="A8">
        <f>VLOOKUP($C8,offshore_nodes!$A$2:$C$20,3,FALSE)</f>
        <v>1</v>
      </c>
      <c r="B8" t="str">
        <f>VLOOKUP(C8,Table2[[OFF3]:[PECD]],2,FALSE)</f>
        <v>NL</v>
      </c>
      <c r="C8" s="22" t="s">
        <v>40</v>
      </c>
      <c r="D8" s="25">
        <v>2030</v>
      </c>
      <c r="E8" s="25">
        <f>SUMIFS(storage_capacity_2030,onshore_or_offshore,"Offshore storage",operational_category_low,1,offshore_region,C8)+IF(D8=2040,SUMIFS(storage_capacity_2040,onshore_or_offshore,"Offshore storage",operational_category_low,2,offshore_region,C8))+IF(D8=2050,SUMIFS(storage_capacity_2040,onshore_or_offshore,"Offshore storage",operational_category_low,2,offshore_region,C8))+IF(D8=2050,SUMIFS(storage_capacity_2050,onshore_or_offshore,"Offshore storage",operational_category_low,3,offshore_region,C8))</f>
        <v>0</v>
      </c>
      <c r="F8" s="25">
        <f>SUMIFS(storage_capacity_2030,onshore_or_offshore,"Offshore storage",operational_category_medium,1,offshore_region,C8)+IF(D8=2040,SUMIFS(storage_capacity_2040,onshore_or_offshore,"Offshore storage",operational_category_medium,2,offshore_region,C8))+IF(D8=2050,SUMIFS(storage_capacity_2040,onshore_or_offshore,"Offshore storage",operational_category_medium,2,offshore_region,C8))+IF(D8=2050,SUMIFS(storage_capacity_2050,onshore_or_offshore,"Offshore storage",operational_category_medium,3,offshore_region,C8))</f>
        <v>0</v>
      </c>
      <c r="G8" s="25">
        <f>SUMIFS(storage_capacity_2030,onshore_or_offshore,"Offshore storage",operational_category_high,1,offshore_region,C8)+IF(D8=2040,SUMIFS(storage_capacity_2040,onshore_or_offshore,"Offshore storage",operational_category_high,2,offshore_region,C8))+IF(D8=2050,SUMIFS(storage_capacity_2040,onshore_or_offshore,"Offshore storage",operational_category_high,2,offshore_region,C8))+IF(D8=2050,SUMIFS(storage_capacity_2050,onshore_or_offshore,"Offshore storage",operational_category_high,3,offshore_region,C8))</f>
        <v>0</v>
      </c>
      <c r="H8" s="25" t="s">
        <v>27</v>
      </c>
    </row>
    <row r="9" spans="1:8">
      <c r="A9">
        <f>VLOOKUP($C9,offshore_nodes!$A$2:$C$20,3,FALSE)</f>
        <v>2</v>
      </c>
      <c r="B9" t="str">
        <f>VLOOKUP(C9,Table2[[OFF3]:[PECD]],2,FALSE)</f>
        <v>NL</v>
      </c>
      <c r="C9" s="22" t="s">
        <v>41</v>
      </c>
      <c r="D9" s="25">
        <v>2030</v>
      </c>
      <c r="E9" s="25">
        <f>SUMIFS(storage_capacity_2030,onshore_or_offshore,"Offshore storage",operational_category_low,1,offshore_region,C9)+IF(D9=2040,SUMIFS(storage_capacity_2040,onshore_or_offshore,"Offshore storage",operational_category_low,2,offshore_region,C9))+IF(D9=2050,SUMIFS(storage_capacity_2040,onshore_or_offshore,"Offshore storage",operational_category_low,2,offshore_region,C9))+IF(D9=2050,SUMIFS(storage_capacity_2050,onshore_or_offshore,"Offshore storage",operational_category_low,3,offshore_region,C9))</f>
        <v>2.5</v>
      </c>
      <c r="F9" s="25">
        <f>SUMIFS(storage_capacity_2030,onshore_or_offshore,"Offshore storage",operational_category_medium,1,offshore_region,C9)+IF(D9=2040,SUMIFS(storage_capacity_2040,onshore_or_offshore,"Offshore storage",operational_category_medium,2,offshore_region,C9))+IF(D9=2050,SUMIFS(storage_capacity_2040,onshore_or_offshore,"Offshore storage",operational_category_medium,2,offshore_region,C9))+IF(D9=2050,SUMIFS(storage_capacity_2050,onshore_or_offshore,"Offshore storage",operational_category_medium,3,offshore_region,C9))</f>
        <v>2.5</v>
      </c>
      <c r="G9" s="25">
        <f>SUMIFS(storage_capacity_2030,onshore_or_offshore,"Offshore storage",operational_category_high,1,offshore_region,C9)+IF(D9=2040,SUMIFS(storage_capacity_2040,onshore_or_offshore,"Offshore storage",operational_category_high,2,offshore_region,C9))+IF(D9=2050,SUMIFS(storage_capacity_2040,onshore_or_offshore,"Offshore storage",operational_category_high,2,offshore_region,C9))+IF(D9=2050,SUMIFS(storage_capacity_2050,onshore_or_offshore,"Offshore storage",operational_category_high,3,offshore_region,C9))</f>
        <v>2.5</v>
      </c>
      <c r="H9" s="25" t="s">
        <v>27</v>
      </c>
    </row>
    <row r="10" spans="1:8">
      <c r="A10">
        <f>VLOOKUP($C10,offshore_nodes!$A$2:$C$20,3,FALSE)</f>
        <v>1</v>
      </c>
      <c r="B10" t="str">
        <f>VLOOKUP(C10,Table2[[OFF3]:[PECD]],2,FALSE)</f>
        <v>NO</v>
      </c>
      <c r="C10" s="22" t="s">
        <v>42</v>
      </c>
      <c r="D10" s="25">
        <v>2030</v>
      </c>
      <c r="E10" s="25">
        <f>SUMIFS(storage_capacity_2030,onshore_or_offshore,"Offshore storage",operational_category_low,1,offshore_region,C10)+IF(D10=2040,SUMIFS(storage_capacity_2040,onshore_or_offshore,"Offshore storage",operational_category_low,2,offshore_region,C10))+IF(D10=2050,SUMIFS(storage_capacity_2040,onshore_or_offshore,"Offshore storage",operational_category_low,2,offshore_region,C10))+IF(D10=2050,SUMIFS(storage_capacity_2050,onshore_or_offshore,"Offshore storage",operational_category_low,3,offshore_region,C10))</f>
        <v>0.7</v>
      </c>
      <c r="F10" s="25">
        <f>SUMIFS(storage_capacity_2030,onshore_or_offshore,"Offshore storage",operational_category_medium,1,offshore_region,C10)+IF(D10=2040,SUMIFS(storage_capacity_2040,onshore_or_offshore,"Offshore storage",operational_category_medium,2,offshore_region,C10))+IF(D10=2050,SUMIFS(storage_capacity_2040,onshore_or_offshore,"Offshore storage",operational_category_medium,2,offshore_region,C10))+IF(D10=2050,SUMIFS(storage_capacity_2050,onshore_or_offshore,"Offshore storage",operational_category_medium,3,offshore_region,C10))</f>
        <v>0.7</v>
      </c>
      <c r="G10" s="25">
        <f>SUMIFS(storage_capacity_2030,onshore_or_offshore,"Offshore storage",operational_category_high,1,offshore_region,C10)+IF(D10=2040,SUMIFS(storage_capacity_2040,onshore_or_offshore,"Offshore storage",operational_category_high,2,offshore_region,C10))+IF(D10=2050,SUMIFS(storage_capacity_2040,onshore_or_offshore,"Offshore storage",operational_category_high,2,offshore_region,C10))+IF(D10=2050,SUMIFS(storage_capacity_2050,onshore_or_offshore,"Offshore storage",operational_category_high,3,offshore_region,C10))</f>
        <v>0.7</v>
      </c>
      <c r="H10" s="25" t="s">
        <v>27</v>
      </c>
    </row>
    <row r="11" spans="1:8">
      <c r="A11">
        <f>VLOOKUP($C11,offshore_nodes!$A$2:$C$20,3,FALSE)</f>
        <v>2</v>
      </c>
      <c r="B11" t="str">
        <f>VLOOKUP(C11,Table2[[OFF3]:[PECD]],2,FALSE)</f>
        <v>NO</v>
      </c>
      <c r="C11" s="22" t="s">
        <v>43</v>
      </c>
      <c r="D11" s="25">
        <v>2030</v>
      </c>
      <c r="E11" s="25">
        <f>SUMIFS(storage_capacity_2030,onshore_or_offshore,"Offshore storage",operational_category_low,1,offshore_region,C11)+IF(D11=2040,SUMIFS(storage_capacity_2040,onshore_or_offshore,"Offshore storage",operational_category_low,2,offshore_region,C11))+IF(D11=2050,SUMIFS(storage_capacity_2040,onshore_or_offshore,"Offshore storage",operational_category_low,2,offshore_region,C11))+IF(D11=2050,SUMIFS(storage_capacity_2050,onshore_or_offshore,"Offshore storage",operational_category_low,3,offshore_region,C11))</f>
        <v>5.2</v>
      </c>
      <c r="F11" s="25">
        <f>SUMIFS(storage_capacity_2030,onshore_or_offshore,"Offshore storage",operational_category_medium,1,offshore_region,C11)+IF(D11=2040,SUMIFS(storage_capacity_2040,onshore_or_offshore,"Offshore storage",operational_category_medium,2,offshore_region,C11))+IF(D11=2050,SUMIFS(storage_capacity_2040,onshore_or_offshore,"Offshore storage",operational_category_medium,2,offshore_region,C11))+IF(D11=2050,SUMIFS(storage_capacity_2050,onshore_or_offshore,"Offshore storage",operational_category_medium,3,offshore_region,C11))</f>
        <v>5.2</v>
      </c>
      <c r="G11" s="25">
        <f>SUMIFS(storage_capacity_2030,onshore_or_offshore,"Offshore storage",operational_category_high,1,offshore_region,C11)+IF(D11=2040,SUMIFS(storage_capacity_2040,onshore_or_offshore,"Offshore storage",operational_category_high,2,offshore_region,C11))+IF(D11=2050,SUMIFS(storage_capacity_2040,onshore_or_offshore,"Offshore storage",operational_category_high,2,offshore_region,C11))+IF(D11=2050,SUMIFS(storage_capacity_2050,onshore_or_offshore,"Offshore storage",operational_category_high,3,offshore_region,C11))</f>
        <v>5.2</v>
      </c>
      <c r="H11" s="25" t="s">
        <v>27</v>
      </c>
    </row>
    <row r="12" spans="1:8">
      <c r="A12">
        <f>VLOOKUP($C12,offshore_nodes!$A$2:$C$20,3,FALSE)</f>
        <v>3</v>
      </c>
      <c r="B12" t="str">
        <f>VLOOKUP(C12,Table2[[OFF3]:[PECD]],2,FALSE)</f>
        <v>NO</v>
      </c>
      <c r="C12" s="22" t="s">
        <v>44</v>
      </c>
      <c r="D12" s="25">
        <v>2030</v>
      </c>
      <c r="E12" s="25">
        <f>SUMIFS(storage_capacity_2030,onshore_or_offshore,"Offshore storage",operational_category_low,1,offshore_region,C12)+IF(D12=2040,SUMIFS(storage_capacity_2040,onshore_or_offshore,"Offshore storage",operational_category_low,2,offshore_region,C12))+IF(D12=2050,SUMIFS(storage_capacity_2040,onshore_or_offshore,"Offshore storage",operational_category_low,2,offshore_region,C12))+IF(D12=2050,SUMIFS(storage_capacity_2050,onshore_or_offshore,"Offshore storage",operational_category_low,3,offshore_region,C12))</f>
        <v>1</v>
      </c>
      <c r="F12" s="25">
        <f>SUMIFS(storage_capacity_2030,onshore_or_offshore,"Offshore storage",operational_category_medium,1,offshore_region,C12)+IF(D12=2040,SUMIFS(storage_capacity_2040,onshore_or_offshore,"Offshore storage",operational_category_medium,2,offshore_region,C12))+IF(D12=2050,SUMIFS(storage_capacity_2040,onshore_or_offshore,"Offshore storage",operational_category_medium,2,offshore_region,C12))+IF(D12=2050,SUMIFS(storage_capacity_2050,onshore_or_offshore,"Offshore storage",operational_category_medium,3,offshore_region,C12))</f>
        <v>1</v>
      </c>
      <c r="G12" s="25">
        <f>SUMIFS(storage_capacity_2030,onshore_or_offshore,"Offshore storage",operational_category_high,1,offshore_region,C12)+IF(D12=2040,SUMIFS(storage_capacity_2040,onshore_or_offshore,"Offshore storage",operational_category_high,2,offshore_region,C12))+IF(D12=2050,SUMIFS(storage_capacity_2040,onshore_or_offshore,"Offshore storage",operational_category_high,2,offshore_region,C12))+IF(D12=2050,SUMIFS(storage_capacity_2050,onshore_or_offshore,"Offshore storage",operational_category_high,3,offshore_region,C12))</f>
        <v>1</v>
      </c>
      <c r="H12" s="25" t="s">
        <v>27</v>
      </c>
    </row>
    <row r="13" spans="1:8">
      <c r="A13">
        <f>VLOOKUP($C13,offshore_nodes!$A$2:$C$20,3,FALSE)</f>
        <v>1</v>
      </c>
      <c r="B13" t="str">
        <f>VLOOKUP(C13,Table2[[OFF3]:[PECD]],2,FALSE)</f>
        <v>UK</v>
      </c>
      <c r="C13" s="22" t="s">
        <v>45</v>
      </c>
      <c r="D13" s="25">
        <v>2030</v>
      </c>
      <c r="E13" s="25">
        <f>SUMIFS(storage_capacity_2030,onshore_or_offshore,"Offshore storage",operational_category_low,1,offshore_region,C13)+IF(D13=2040,SUMIFS(storage_capacity_2040,onshore_or_offshore,"Offshore storage",operational_category_low,2,offshore_region,C13))+IF(D13=2050,SUMIFS(storage_capacity_2040,onshore_or_offshore,"Offshore storage",operational_category_low,2,offshore_region,C13))+IF(D13=2050,SUMIFS(storage_capacity_2050,onshore_or_offshore,"Offshore storage",operational_category_low,3,offshore_region,C13))</f>
        <v>0</v>
      </c>
      <c r="F13" s="25">
        <f>SUMIFS(storage_capacity_2030,onshore_or_offshore,"Offshore storage",operational_category_medium,1,offshore_region,C13)+IF(D13=2040,SUMIFS(storage_capacity_2040,onshore_or_offshore,"Offshore storage",operational_category_medium,2,offshore_region,C13))+IF(D13=2050,SUMIFS(storage_capacity_2040,onshore_or_offshore,"Offshore storage",operational_category_medium,2,offshore_region,C13))+IF(D13=2050,SUMIFS(storage_capacity_2050,onshore_or_offshore,"Offshore storage",operational_category_medium,3,offshore_region,C13))</f>
        <v>0</v>
      </c>
      <c r="G13" s="25">
        <f>SUMIFS(storage_capacity_2030,onshore_or_offshore,"Offshore storage",operational_category_high,1,offshore_region,C13)+IF(D13=2040,SUMIFS(storage_capacity_2040,onshore_or_offshore,"Offshore storage",operational_category_high,2,offshore_region,C13))+IF(D13=2050,SUMIFS(storage_capacity_2040,onshore_or_offshore,"Offshore storage",operational_category_high,2,offshore_region,C13))+IF(D13=2050,SUMIFS(storage_capacity_2050,onshore_or_offshore,"Offshore storage",operational_category_high,3,offshore_region,C13))</f>
        <v>0</v>
      </c>
      <c r="H13" s="25" t="s">
        <v>27</v>
      </c>
    </row>
    <row r="14" spans="1:8">
      <c r="A14">
        <f>VLOOKUP($C14,offshore_nodes!$A$2:$C$20,3,FALSE)</f>
        <v>2</v>
      </c>
      <c r="B14" t="str">
        <f>VLOOKUP(C14,Table2[[OFF3]:[PECD]],2,FALSE)</f>
        <v>UK</v>
      </c>
      <c r="C14" s="22" t="s">
        <v>46</v>
      </c>
      <c r="D14" s="25">
        <v>2030</v>
      </c>
      <c r="E14" s="25">
        <f>SUMIFS(storage_capacity_2030,onshore_or_offshore,"Offshore storage",operational_category_low,1,offshore_region,C14)+IF(D14=2040,SUMIFS(storage_capacity_2040,onshore_or_offshore,"Offshore storage",operational_category_low,2,offshore_region,C14))+IF(D14=2050,SUMIFS(storage_capacity_2040,onshore_or_offshore,"Offshore storage",operational_category_low,2,offshore_region,C14))+IF(D14=2050,SUMIFS(storage_capacity_2050,onshore_or_offshore,"Offshore storage",operational_category_low,3,offshore_region,C14))</f>
        <v>10</v>
      </c>
      <c r="F14" s="25">
        <f>SUMIFS(storage_capacity_2030,onshore_or_offshore,"Offshore storage",operational_category_medium,1,offshore_region,C14)+IF(D14=2040,SUMIFS(storage_capacity_2040,onshore_or_offshore,"Offshore storage",operational_category_medium,2,offshore_region,C14))+IF(D14=2050,SUMIFS(storage_capacity_2040,onshore_or_offshore,"Offshore storage",operational_category_medium,2,offshore_region,C14))+IF(D14=2050,SUMIFS(storage_capacity_2050,onshore_or_offshore,"Offshore storage",operational_category_medium,3,offshore_region,C14))</f>
        <v>10</v>
      </c>
      <c r="G14" s="25">
        <f>SUMIFS(storage_capacity_2030,onshore_or_offshore,"Offshore storage",operational_category_high,1,offshore_region,C14)+IF(D14=2040,SUMIFS(storage_capacity_2040,onshore_or_offshore,"Offshore storage",operational_category_high,2,offshore_region,C14))+IF(D14=2050,SUMIFS(storage_capacity_2040,onshore_or_offshore,"Offshore storage",operational_category_high,2,offshore_region,C14))+IF(D14=2050,SUMIFS(storage_capacity_2050,onshore_or_offshore,"Offshore storage",operational_category_high,3,offshore_region,C14))</f>
        <v>10</v>
      </c>
      <c r="H14" s="25" t="s">
        <v>27</v>
      </c>
    </row>
    <row r="15" spans="1:8">
      <c r="A15">
        <f>VLOOKUP($C15,offshore_nodes!$A$2:$C$20,3,FALSE)</f>
        <v>3</v>
      </c>
      <c r="B15" t="str">
        <f>VLOOKUP(C15,Table2[[OFF3]:[PECD]],2,FALSE)</f>
        <v>UK</v>
      </c>
      <c r="C15" s="22" t="s">
        <v>47</v>
      </c>
      <c r="D15" s="25">
        <v>2030</v>
      </c>
      <c r="E15" s="25">
        <f>SUMIFS(storage_capacity_2030,onshore_or_offshore,"Offshore storage",operational_category_low,1,offshore_region,C15)+IF(D15=2040,SUMIFS(storage_capacity_2040,onshore_or_offshore,"Offshore storage",operational_category_low,2,offshore_region,C15))+IF(D15=2050,SUMIFS(storage_capacity_2040,onshore_or_offshore,"Offshore storage",operational_category_low,2,offshore_region,C15))+IF(D15=2050,SUMIFS(storage_capacity_2050,onshore_or_offshore,"Offshore storage",operational_category_low,3,offshore_region,C15))</f>
        <v>0</v>
      </c>
      <c r="F15" s="25">
        <f>SUMIFS(storage_capacity_2030,onshore_or_offshore,"Offshore storage",operational_category_medium,1,offshore_region,C15)+IF(D15=2040,SUMIFS(storage_capacity_2040,onshore_or_offshore,"Offshore storage",operational_category_medium,2,offshore_region,C15))+IF(D15=2050,SUMIFS(storage_capacity_2040,onshore_or_offshore,"Offshore storage",operational_category_medium,2,offshore_region,C15))+IF(D15=2050,SUMIFS(storage_capacity_2050,onshore_or_offshore,"Offshore storage",operational_category_medium,3,offshore_region,C15))</f>
        <v>0</v>
      </c>
      <c r="G15" s="25">
        <f>SUMIFS(storage_capacity_2030,onshore_or_offshore,"Offshore storage",operational_category_high,1,offshore_region,C15)+IF(D15=2040,SUMIFS(storage_capacity_2040,onshore_or_offshore,"Offshore storage",operational_category_high,2,offshore_region,C15))+IF(D15=2050,SUMIFS(storage_capacity_2040,onshore_or_offshore,"Offshore storage",operational_category_high,2,offshore_region,C15))+IF(D15=2050,SUMIFS(storage_capacity_2050,onshore_or_offshore,"Offshore storage",operational_category_high,3,offshore_region,C15))</f>
        <v>0</v>
      </c>
      <c r="H15" s="25" t="s">
        <v>27</v>
      </c>
    </row>
    <row r="16" spans="1:8">
      <c r="A16">
        <f>VLOOKUP($C16,offshore_nodes!$A$2:$C$20,3,FALSE)</f>
        <v>4</v>
      </c>
      <c r="B16" t="str">
        <f>VLOOKUP(C16,Table2[[OFF3]:[PECD]],2,FALSE)</f>
        <v>UK</v>
      </c>
      <c r="C16" s="22" t="s">
        <v>48</v>
      </c>
      <c r="D16" s="25">
        <v>2030</v>
      </c>
      <c r="E16" s="25">
        <f>SUMIFS(storage_capacity_2030,onshore_or_offshore,"Offshore storage",operational_category_low,1,offshore_region,C16)+IF(D16=2040,SUMIFS(storage_capacity_2040,onshore_or_offshore,"Offshore storage",operational_category_low,2,offshore_region,C16))+IF(D16=2050,SUMIFS(storage_capacity_2040,onshore_or_offshore,"Offshore storage",operational_category_low,2,offshore_region,C16))+IF(D16=2050,SUMIFS(storage_capacity_2050,onshore_or_offshore,"Offshore storage",operational_category_low,3,offshore_region,C16))</f>
        <v>0</v>
      </c>
      <c r="F16" s="25">
        <f>SUMIFS(storage_capacity_2030,onshore_or_offshore,"Offshore storage",operational_category_medium,1,offshore_region,C16)+IF(D16=2040,SUMIFS(storage_capacity_2040,onshore_or_offshore,"Offshore storage",operational_category_medium,2,offshore_region,C16))+IF(D16=2050,SUMIFS(storage_capacity_2040,onshore_or_offshore,"Offshore storage",operational_category_medium,2,offshore_region,C16))+IF(D16=2050,SUMIFS(storage_capacity_2050,onshore_or_offshore,"Offshore storage",operational_category_medium,3,offshore_region,C16))</f>
        <v>0</v>
      </c>
      <c r="G16" s="25">
        <f>SUMIFS(storage_capacity_2030,onshore_or_offshore,"Offshore storage",operational_category_high,1,offshore_region,C16)+IF(D16=2040,SUMIFS(storage_capacity_2040,onshore_or_offshore,"Offshore storage",operational_category_high,2,offshore_region,C16))+IF(D16=2050,SUMIFS(storage_capacity_2040,onshore_or_offshore,"Offshore storage",operational_category_high,2,offshore_region,C16))+IF(D16=2050,SUMIFS(storage_capacity_2050,onshore_or_offshore,"Offshore storage",operational_category_high,3,offshore_region,C16))</f>
        <v>0</v>
      </c>
      <c r="H16" s="25" t="s">
        <v>27</v>
      </c>
    </row>
    <row r="17" spans="1:8">
      <c r="A17">
        <f>VLOOKUP($C17,offshore_nodes!$A$2:$C$20,3,FALSE)</f>
        <v>5</v>
      </c>
      <c r="B17" t="str">
        <f>VLOOKUP(C17,Table2[[OFF3]:[PECD]],2,FALSE)</f>
        <v>UK</v>
      </c>
      <c r="C17" s="22" t="s">
        <v>49</v>
      </c>
      <c r="D17" s="25">
        <v>2030</v>
      </c>
      <c r="E17" s="25">
        <f>SUMIFS(storage_capacity_2030,onshore_or_offshore,"Offshore storage",operational_category_low,1,offshore_region,C17)+IF(D17=2040,SUMIFS(storage_capacity_2040,onshore_or_offshore,"Offshore storage",operational_category_low,2,offshore_region,C17))+IF(D17=2050,SUMIFS(storage_capacity_2040,onshore_or_offshore,"Offshore storage",operational_category_low,2,offshore_region,C17))+IF(D17=2050,SUMIFS(storage_capacity_2050,onshore_or_offshore,"Offshore storage",operational_category_low,3,offshore_region,C17))</f>
        <v>0</v>
      </c>
      <c r="F17" s="25">
        <f>SUMIFS(storage_capacity_2030,onshore_or_offshore,"Offshore storage",operational_category_medium,1,offshore_region,C17)+IF(D17=2040,SUMIFS(storage_capacity_2040,onshore_or_offshore,"Offshore storage",operational_category_medium,2,offshore_region,C17))+IF(D17=2050,SUMIFS(storage_capacity_2040,onshore_or_offshore,"Offshore storage",operational_category_medium,2,offshore_region,C17))+IF(D17=2050,SUMIFS(storage_capacity_2050,onshore_or_offshore,"Offshore storage",operational_category_medium,3,offshore_region,C17))</f>
        <v>0</v>
      </c>
      <c r="G17" s="25">
        <f>SUMIFS(storage_capacity_2030,onshore_or_offshore,"Offshore storage",operational_category_high,1,offshore_region,C17)+IF(D17=2040,SUMIFS(storage_capacity_2040,onshore_or_offshore,"Offshore storage",operational_category_high,2,offshore_region,C17))+IF(D17=2050,SUMIFS(storage_capacity_2040,onshore_or_offshore,"Offshore storage",operational_category_high,2,offshore_region,C17))+IF(D17=2050,SUMIFS(storage_capacity_2050,onshore_or_offshore,"Offshore storage",operational_category_high,3,offshore_region,C17))</f>
        <v>0</v>
      </c>
      <c r="H17" s="25" t="s">
        <v>27</v>
      </c>
    </row>
    <row r="18" spans="1:8">
      <c r="A18">
        <f>VLOOKUP($C18,offshore_nodes!$A$2:$C$20,3,FALSE)</f>
        <v>6</v>
      </c>
      <c r="B18" t="str">
        <f>VLOOKUP(C18,Table2[[OFF3]:[PECD]],2,FALSE)</f>
        <v>UK</v>
      </c>
      <c r="C18" s="22" t="s">
        <v>50</v>
      </c>
      <c r="D18" s="25">
        <v>2030</v>
      </c>
      <c r="E18" s="25">
        <f>SUMIFS(storage_capacity_2030,onshore_or_offshore,"Offshore storage",operational_category_low,1,offshore_region,C18)+IF(D18=2040,SUMIFS(storage_capacity_2040,onshore_or_offshore,"Offshore storage",operational_category_low,2,offshore_region,C18))+IF(D18=2050,SUMIFS(storage_capacity_2040,onshore_or_offshore,"Offshore storage",operational_category_low,2,offshore_region,C18))+IF(D18=2050,SUMIFS(storage_capacity_2050,onshore_or_offshore,"Offshore storage",operational_category_low,3,offshore_region,C18))</f>
        <v>0</v>
      </c>
      <c r="F18" s="25">
        <f>SUMIFS(storage_capacity_2030,onshore_or_offshore,"Offshore storage",operational_category_medium,1,offshore_region,C18)+IF(D18=2040,SUMIFS(storage_capacity_2040,onshore_or_offshore,"Offshore storage",operational_category_medium,2,offshore_region,C18))+IF(D18=2050,SUMIFS(storage_capacity_2040,onshore_or_offshore,"Offshore storage",operational_category_medium,2,offshore_region,C18))+IF(D18=2050,SUMIFS(storage_capacity_2050,onshore_or_offshore,"Offshore storage",operational_category_medium,3,offshore_region,C18))</f>
        <v>0</v>
      </c>
      <c r="G18" s="25">
        <f>SUMIFS(storage_capacity_2030,onshore_or_offshore,"Offshore storage",operational_category_high,1,offshore_region,C18)+IF(D18=2040,SUMIFS(storage_capacity_2040,onshore_or_offshore,"Offshore storage",operational_category_high,2,offshore_region,C18))+IF(D18=2050,SUMIFS(storage_capacity_2040,onshore_or_offshore,"Offshore storage",operational_category_high,2,offshore_region,C18))+IF(D18=2050,SUMIFS(storage_capacity_2050,onshore_or_offshore,"Offshore storage",operational_category_high,3,offshore_region,C18))</f>
        <v>0</v>
      </c>
      <c r="H18" s="25" t="s">
        <v>27</v>
      </c>
    </row>
    <row r="19" spans="1:8">
      <c r="A19">
        <f>VLOOKUP($C19,offshore_nodes!$A$2:$C$20,3,FALSE)</f>
        <v>7</v>
      </c>
      <c r="B19" t="str">
        <f>VLOOKUP(C19,Table2[[OFF3]:[PECD]],2,FALSE)</f>
        <v>UK</v>
      </c>
      <c r="C19" s="22" t="s">
        <v>51</v>
      </c>
      <c r="D19" s="25">
        <v>2030</v>
      </c>
      <c r="E19" s="25">
        <f>SUMIFS(storage_capacity_2030,onshore_or_offshore,"Offshore storage",operational_category_low,1,offshore_region,C19)+IF(D19=2040,SUMIFS(storage_capacity_2040,onshore_or_offshore,"Offshore storage",operational_category_low,2,offshore_region,C19))+IF(D19=2050,SUMIFS(storage_capacity_2040,onshore_or_offshore,"Offshore storage",operational_category_low,2,offshore_region,C19))+IF(D19=2050,SUMIFS(storage_capacity_2050,onshore_or_offshore,"Offshore storage",operational_category_low,3,offshore_region,C19))</f>
        <v>0</v>
      </c>
      <c r="F19" s="25">
        <f>SUMIFS(storage_capacity_2030,onshore_or_offshore,"Offshore storage",operational_category_medium,1,offshore_region,C19)+IF(D19=2040,SUMIFS(storage_capacity_2040,onshore_or_offshore,"Offshore storage",operational_category_medium,2,offshore_region,C19))+IF(D19=2050,SUMIFS(storage_capacity_2040,onshore_or_offshore,"Offshore storage",operational_category_medium,2,offshore_region,C19))+IF(D19=2050,SUMIFS(storage_capacity_2050,onshore_or_offshore,"Offshore storage",operational_category_medium,3,offshore_region,C19))</f>
        <v>10</v>
      </c>
      <c r="G19" s="25">
        <f>SUMIFS(storage_capacity_2030,onshore_or_offshore,"Offshore storage",operational_category_high,1,offshore_region,C19)+IF(D19=2040,SUMIFS(storage_capacity_2040,onshore_or_offshore,"Offshore storage",operational_category_high,2,offshore_region,C19))+IF(D19=2050,SUMIFS(storage_capacity_2040,onshore_or_offshore,"Offshore storage",operational_category_high,2,offshore_region,C19))+IF(D19=2050,SUMIFS(storage_capacity_2050,onshore_or_offshore,"Offshore storage",operational_category_high,3,offshore_region,C19))</f>
        <v>10</v>
      </c>
      <c r="H19" s="25" t="s">
        <v>27</v>
      </c>
    </row>
    <row r="20" spans="1:8">
      <c r="A20">
        <f>VLOOKUP($C20,offshore_nodes!$A$2:$C$20,3,FALSE)</f>
        <v>8</v>
      </c>
      <c r="B20" t="str">
        <f>VLOOKUP(C20,Table2[[OFF3]:[PECD]],2,FALSE)</f>
        <v>UK</v>
      </c>
      <c r="C20" s="22" t="s">
        <v>52</v>
      </c>
      <c r="D20" s="25">
        <v>2030</v>
      </c>
      <c r="E20" s="25">
        <f>SUMIFS(storage_capacity_2030,onshore_or_offshore,"Offshore storage",operational_category_low,1,offshore_region,C20)+IF(D20=2040,SUMIFS(storage_capacity_2040,onshore_or_offshore,"Offshore storage",operational_category_low,2,offshore_region,C20))+IF(D20=2050,SUMIFS(storage_capacity_2040,onshore_or_offshore,"Offshore storage",operational_category_low,2,offshore_region,C20))+IF(D20=2050,SUMIFS(storage_capacity_2050,onshore_or_offshore,"Offshore storage",operational_category_low,3,offshore_region,C20))</f>
        <v>0</v>
      </c>
      <c r="F20" s="25">
        <f>SUMIFS(storage_capacity_2030,onshore_or_offshore,"Offshore storage",operational_category_medium,1,offshore_region,C20)+IF(D20=2040,SUMIFS(storage_capacity_2040,onshore_or_offshore,"Offshore storage",operational_category_medium,2,offshore_region,C20))+IF(D20=2050,SUMIFS(storage_capacity_2040,onshore_or_offshore,"Offshore storage",operational_category_medium,2,offshore_region,C20))+IF(D20=2050,SUMIFS(storage_capacity_2050,onshore_or_offshore,"Offshore storage",operational_category_medium,3,offshore_region,C20))</f>
        <v>5</v>
      </c>
      <c r="G20" s="25">
        <f>SUMIFS(storage_capacity_2030,onshore_or_offshore,"Offshore storage",operational_category_high,1,offshore_region,C20)+IF(D20=2040,SUMIFS(storage_capacity_2040,onshore_or_offshore,"Offshore storage",operational_category_high,2,offshore_region,C20))+IF(D20=2050,SUMIFS(storage_capacity_2040,onshore_or_offshore,"Offshore storage",operational_category_high,2,offshore_region,C20))+IF(D20=2050,SUMIFS(storage_capacity_2050,onshore_or_offshore,"Offshore storage",operational_category_high,3,offshore_region,C20))</f>
        <v>5</v>
      </c>
      <c r="H20" s="25" t="s">
        <v>27</v>
      </c>
    </row>
    <row r="21" spans="1:8">
      <c r="A21">
        <f>VLOOKUP($C21,offshore_nodes!$A$2:$C$20,3,FALSE)</f>
        <v>1</v>
      </c>
      <c r="B21" t="str">
        <f>VLOOKUP(C21,Table2[[OFF3]:[PECD]],2,FALSE)</f>
        <v>DE</v>
      </c>
      <c r="C21" s="22" t="s">
        <v>34</v>
      </c>
      <c r="D21" s="25">
        <v>2040</v>
      </c>
      <c r="E21" s="25">
        <f>SUMIFS(storage_capacity_2030,onshore_or_offshore,"Offshore storage",operational_category_low,1,offshore_region,C21)+IF(D21=2040,SUMIFS(storage_capacity_2040,onshore_or_offshore,"Offshore storage",operational_category_low,2,offshore_region,C21))+IF(D21=2050,SUMIFS(storage_capacity_2040,onshore_or_offshore,"Offshore storage",operational_category_low,2,offshore_region,C21))+IF(D21=2050,SUMIFS(storage_capacity_2050,onshore_or_offshore,"Offshore storage",operational_category_low,3,offshore_region,C21))</f>
        <v>0</v>
      </c>
      <c r="F21" s="25">
        <f>SUMIFS(storage_capacity_2030,onshore_or_offshore,"Offshore storage",operational_category_medium,1,offshore_region,C21)+IF(D21=2040,SUMIFS(storage_capacity_2040,onshore_or_offshore,"Offshore storage",operational_category_medium,2,offshore_region,C21))+IF(D21=2050,SUMIFS(storage_capacity_2040,onshore_or_offshore,"Offshore storage",operational_category_medium,2,offshore_region,C21))+IF(D21=2050,SUMIFS(storage_capacity_2050,onshore_or_offshore,"Offshore storage",operational_category_medium,3,offshore_region,C21))</f>
        <v>0</v>
      </c>
      <c r="G21" s="25">
        <f>SUMIFS(storage_capacity_2030,onshore_or_offshore,"Offshore storage",operational_category_high,1,offshore_region,C21)+IF(D21=2040,SUMIFS(storage_capacity_2040,onshore_or_offshore,"Offshore storage",operational_category_high,2,offshore_region,C21))+IF(D21=2050,SUMIFS(storage_capacity_2040,onshore_or_offshore,"Offshore storage",operational_category_high,2,offshore_region,C21))+IF(D21=2050,SUMIFS(storage_capacity_2050,onshore_or_offshore,"Offshore storage",operational_category_high,3,offshore_region,C21))</f>
        <v>0</v>
      </c>
      <c r="H21" s="25" t="s">
        <v>27</v>
      </c>
    </row>
    <row r="22" spans="1:8">
      <c r="A22">
        <f>VLOOKUP($C22,offshore_nodes!$A$2:$C$20,3,FALSE)</f>
        <v>1</v>
      </c>
      <c r="B22" t="str">
        <f>VLOOKUP(C22,Table2[[OFF3]:[PECD]],2,FALSE)</f>
        <v>DK</v>
      </c>
      <c r="C22" s="22" t="s">
        <v>35</v>
      </c>
      <c r="D22" s="25">
        <v>2040</v>
      </c>
      <c r="E22" s="25">
        <f>SUMIFS(storage_capacity_2030,onshore_or_offshore,"Offshore storage",operational_category_low,1,offshore_region,C22)+IF(D22=2040,SUMIFS(storage_capacity_2040,onshore_or_offshore,"Offshore storage",operational_category_low,2,offshore_region,C22))+IF(D22=2050,SUMIFS(storage_capacity_2040,onshore_or_offshore,"Offshore storage",operational_category_low,2,offshore_region,C22))+IF(D22=2050,SUMIFS(storage_capacity_2050,onshore_or_offshore,"Offshore storage",operational_category_low,3,offshore_region,C22))</f>
        <v>11</v>
      </c>
      <c r="F22" s="25">
        <f>SUMIFS(storage_capacity_2030,onshore_or_offshore,"Offshore storage",operational_category_medium,1,offshore_region,C22)+IF(D22=2040,SUMIFS(storage_capacity_2040,onshore_or_offshore,"Offshore storage",operational_category_medium,2,offshore_region,C22))+IF(D22=2050,SUMIFS(storage_capacity_2040,onshore_or_offshore,"Offshore storage",operational_category_medium,2,offshore_region,C22))+IF(D22=2050,SUMIFS(storage_capacity_2050,onshore_or_offshore,"Offshore storage",operational_category_medium,3,offshore_region,C22))</f>
        <v>11</v>
      </c>
      <c r="G22" s="25">
        <f>SUMIFS(storage_capacity_2030,onshore_or_offshore,"Offshore storage",operational_category_high,1,offshore_region,C22)+IF(D22=2040,SUMIFS(storage_capacity_2040,onshore_or_offshore,"Offshore storage",operational_category_high,2,offshore_region,C22))+IF(D22=2050,SUMIFS(storage_capacity_2040,onshore_or_offshore,"Offshore storage",operational_category_high,2,offshore_region,C22))+IF(D22=2050,SUMIFS(storage_capacity_2050,onshore_or_offshore,"Offshore storage",operational_category_high,3,offshore_region,C22))</f>
        <v>11</v>
      </c>
      <c r="H22" s="25" t="s">
        <v>27</v>
      </c>
    </row>
    <row r="23" spans="1:8">
      <c r="A23">
        <f>VLOOKUP($C23,offshore_nodes!$A$2:$C$20,3,FALSE)</f>
        <v>1</v>
      </c>
      <c r="B23" t="str">
        <f>VLOOKUP(C23,Table2[[OFF3]:[PECD]],2,FALSE)</f>
        <v>ES</v>
      </c>
      <c r="C23" s="22" t="s">
        <v>36</v>
      </c>
      <c r="D23" s="25">
        <v>2040</v>
      </c>
      <c r="E23" s="25">
        <f>SUMIFS(storage_capacity_2030,onshore_or_offshore,"Offshore storage",operational_category_low,1,offshore_region,C23)+IF(D23=2040,SUMIFS(storage_capacity_2040,onshore_or_offshore,"Offshore storage",operational_category_low,2,offshore_region,C23))+IF(D23=2050,SUMIFS(storage_capacity_2040,onshore_or_offshore,"Offshore storage",operational_category_low,2,offshore_region,C23))+IF(D23=2050,SUMIFS(storage_capacity_2050,onshore_or_offshore,"Offshore storage",operational_category_low,3,offshore_region,C23))</f>
        <v>0</v>
      </c>
      <c r="F23" s="25">
        <f>SUMIFS(storage_capacity_2030,onshore_or_offshore,"Offshore storage",operational_category_medium,1,offshore_region,C23)+IF(D23=2040,SUMIFS(storage_capacity_2040,onshore_or_offshore,"Offshore storage",operational_category_medium,2,offshore_region,C23))+IF(D23=2050,SUMIFS(storage_capacity_2040,onshore_or_offshore,"Offshore storage",operational_category_medium,2,offshore_region,C23))+IF(D23=2050,SUMIFS(storage_capacity_2050,onshore_or_offshore,"Offshore storage",operational_category_medium,3,offshore_region,C23))</f>
        <v>0</v>
      </c>
      <c r="G23" s="25">
        <f>SUMIFS(storage_capacity_2030,onshore_or_offshore,"Offshore storage",operational_category_high,1,offshore_region,C23)+IF(D23=2040,SUMIFS(storage_capacity_2040,onshore_or_offshore,"Offshore storage",operational_category_high,2,offshore_region,C23))+IF(D23=2050,SUMIFS(storage_capacity_2040,onshore_or_offshore,"Offshore storage",operational_category_high,2,offshore_region,C23))+IF(D23=2050,SUMIFS(storage_capacity_2050,onshore_or_offshore,"Offshore storage",operational_category_high,3,offshore_region,C23))</f>
        <v>2</v>
      </c>
      <c r="H23" s="25" t="s">
        <v>27</v>
      </c>
    </row>
    <row r="24" spans="1:8">
      <c r="A24">
        <f>VLOOKUP($C24,offshore_nodes!$A$2:$C$20,3,FALSE)</f>
        <v>1</v>
      </c>
      <c r="B24" t="str">
        <f>VLOOKUP(C24,Table2[[OFF3]:[PECD]],2,FALSE)</f>
        <v>GR</v>
      </c>
      <c r="C24" s="22" t="s">
        <v>37</v>
      </c>
      <c r="D24" s="25">
        <v>2040</v>
      </c>
      <c r="E24" s="25">
        <f>SUMIFS(storage_capacity_2030,onshore_or_offshore,"Offshore storage",operational_category_low,1,offshore_region,C24)+IF(D24=2040,SUMIFS(storage_capacity_2040,onshore_or_offshore,"Offshore storage",operational_category_low,2,offshore_region,C24))+IF(D24=2050,SUMIFS(storage_capacity_2040,onshore_or_offshore,"Offshore storage",operational_category_low,2,offshore_region,C24))+IF(D24=2050,SUMIFS(storage_capacity_2050,onshore_or_offshore,"Offshore storage",operational_category_low,3,offshore_region,C24))</f>
        <v>2.5</v>
      </c>
      <c r="F24" s="25">
        <f>SUMIFS(storage_capacity_2030,onshore_or_offshore,"Offshore storage",operational_category_medium,1,offshore_region,C24)+IF(D24=2040,SUMIFS(storage_capacity_2040,onshore_or_offshore,"Offshore storage",operational_category_medium,2,offshore_region,C24))+IF(D24=2050,SUMIFS(storage_capacity_2040,onshore_or_offshore,"Offshore storage",operational_category_medium,2,offshore_region,C24))+IF(D24=2050,SUMIFS(storage_capacity_2050,onshore_or_offshore,"Offshore storage",operational_category_medium,3,offshore_region,C24))</f>
        <v>2.5</v>
      </c>
      <c r="G24" s="25">
        <f>SUMIFS(storage_capacity_2030,onshore_or_offshore,"Offshore storage",operational_category_high,1,offshore_region,C24)+IF(D24=2040,SUMIFS(storage_capacity_2040,onshore_or_offshore,"Offshore storage",operational_category_high,2,offshore_region,C24))+IF(D24=2050,SUMIFS(storage_capacity_2040,onshore_or_offshore,"Offshore storage",operational_category_high,2,offshore_region,C24))+IF(D24=2050,SUMIFS(storage_capacity_2050,onshore_or_offshore,"Offshore storage",operational_category_high,3,offshore_region,C24))</f>
        <v>2.5</v>
      </c>
      <c r="H24" s="25" t="s">
        <v>27</v>
      </c>
    </row>
    <row r="25" spans="1:8">
      <c r="A25">
        <f>VLOOKUP($C25,offshore_nodes!$A$2:$C$20,3,FALSE)</f>
        <v>1</v>
      </c>
      <c r="B25" t="str">
        <f>VLOOKUP(C25,Table2[[OFF3]:[PECD]],2,FALSE)</f>
        <v>IE</v>
      </c>
      <c r="C25" s="22" t="s">
        <v>38</v>
      </c>
      <c r="D25" s="25">
        <v>2040</v>
      </c>
      <c r="E25" s="25">
        <f>SUMIFS(storage_capacity_2030,onshore_or_offshore,"Offshore storage",operational_category_low,1,offshore_region,C25)+IF(D25=2040,SUMIFS(storage_capacity_2040,onshore_or_offshore,"Offshore storage",operational_category_low,2,offshore_region,C25))+IF(D25=2050,SUMIFS(storage_capacity_2040,onshore_or_offshore,"Offshore storage",operational_category_low,2,offshore_region,C25))+IF(D25=2050,SUMIFS(storage_capacity_2050,onshore_or_offshore,"Offshore storage",operational_category_low,3,offshore_region,C25))</f>
        <v>0</v>
      </c>
      <c r="F25" s="25">
        <f>SUMIFS(storage_capacity_2030,onshore_or_offshore,"Offshore storage",operational_category_medium,1,offshore_region,C25)+IF(D25=2040,SUMIFS(storage_capacity_2040,onshore_or_offshore,"Offshore storage",operational_category_medium,2,offshore_region,C25))+IF(D25=2050,SUMIFS(storage_capacity_2040,onshore_or_offshore,"Offshore storage",operational_category_medium,2,offshore_region,C25))+IF(D25=2050,SUMIFS(storage_capacity_2050,onshore_or_offshore,"Offshore storage",operational_category_medium,3,offshore_region,C25))</f>
        <v>0</v>
      </c>
      <c r="G25" s="25">
        <f>SUMIFS(storage_capacity_2030,onshore_or_offshore,"Offshore storage",operational_category_high,1,offshore_region,C25)+IF(D25=2040,SUMIFS(storage_capacity_2040,onshore_or_offshore,"Offshore storage",operational_category_high,2,offshore_region,C25))+IF(D25=2050,SUMIFS(storage_capacity_2040,onshore_or_offshore,"Offshore storage",operational_category_high,2,offshore_region,C25))+IF(D25=2050,SUMIFS(storage_capacity_2050,onshore_or_offshore,"Offshore storage",operational_category_high,3,offshore_region,C25))</f>
        <v>2.5</v>
      </c>
      <c r="H25" s="25" t="s">
        <v>27</v>
      </c>
    </row>
    <row r="26" spans="1:8">
      <c r="A26">
        <f>VLOOKUP($C26,offshore_nodes!$A$2:$C$20,3,FALSE)</f>
        <v>1</v>
      </c>
      <c r="B26" t="str">
        <f>VLOOKUP(C26,Table2[[OFF3]:[PECD]],2,FALSE)</f>
        <v>IT</v>
      </c>
      <c r="C26" s="22" t="s">
        <v>39</v>
      </c>
      <c r="D26" s="25">
        <v>2040</v>
      </c>
      <c r="E26" s="25">
        <f>SUMIFS(storage_capacity_2030,onshore_or_offshore,"Offshore storage",operational_category_low,1,offshore_region,C26)+IF(D26=2040,SUMIFS(storage_capacity_2040,onshore_or_offshore,"Offshore storage",operational_category_low,2,offshore_region,C26))+IF(D26=2050,SUMIFS(storage_capacity_2040,onshore_or_offshore,"Offshore storage",operational_category_low,2,offshore_region,C26))+IF(D26=2050,SUMIFS(storage_capacity_2050,onshore_or_offshore,"Offshore storage",operational_category_low,3,offshore_region,C26))</f>
        <v>4</v>
      </c>
      <c r="F26" s="25">
        <f>SUMIFS(storage_capacity_2030,onshore_or_offshore,"Offshore storage",operational_category_medium,1,offshore_region,C26)+IF(D26=2040,SUMIFS(storage_capacity_2040,onshore_or_offshore,"Offshore storage",operational_category_medium,2,offshore_region,C26))+IF(D26=2050,SUMIFS(storage_capacity_2040,onshore_or_offshore,"Offshore storage",operational_category_medium,2,offshore_region,C26))+IF(D26=2050,SUMIFS(storage_capacity_2050,onshore_or_offshore,"Offshore storage",operational_category_medium,3,offshore_region,C26))</f>
        <v>4</v>
      </c>
      <c r="G26" s="25">
        <f>SUMIFS(storage_capacity_2030,onshore_or_offshore,"Offshore storage",operational_category_high,1,offshore_region,C26)+IF(D26=2040,SUMIFS(storage_capacity_2040,onshore_or_offshore,"Offshore storage",operational_category_high,2,offshore_region,C26))+IF(D26=2050,SUMIFS(storage_capacity_2040,onshore_or_offshore,"Offshore storage",operational_category_high,2,offshore_region,C26))+IF(D26=2050,SUMIFS(storage_capacity_2050,onshore_or_offshore,"Offshore storage",operational_category_high,3,offshore_region,C26))</f>
        <v>4</v>
      </c>
      <c r="H26" s="25" t="s">
        <v>27</v>
      </c>
    </row>
    <row r="27" spans="1:8">
      <c r="A27">
        <f>VLOOKUP($C27,offshore_nodes!$A$2:$C$20,3,FALSE)</f>
        <v>1</v>
      </c>
      <c r="B27" t="str">
        <f>VLOOKUP(C27,Table2[[OFF3]:[PECD]],2,FALSE)</f>
        <v>NL</v>
      </c>
      <c r="C27" s="22" t="s">
        <v>40</v>
      </c>
      <c r="D27" s="25">
        <v>2040</v>
      </c>
      <c r="E27" s="25">
        <f>SUMIFS(storage_capacity_2030,onshore_or_offshore,"Offshore storage",operational_category_low,1,offshore_region,C27)+IF(D27=2040,SUMIFS(storage_capacity_2040,onshore_or_offshore,"Offshore storage",operational_category_low,2,offshore_region,C27))+IF(D27=2050,SUMIFS(storage_capacity_2040,onshore_or_offshore,"Offshore storage",operational_category_low,2,offshore_region,C27))+IF(D27=2050,SUMIFS(storage_capacity_2050,onshore_or_offshore,"Offshore storage",operational_category_low,3,offshore_region,C27))</f>
        <v>8</v>
      </c>
      <c r="F27" s="25">
        <f>SUMIFS(storage_capacity_2030,onshore_or_offshore,"Offshore storage",operational_category_medium,1,offshore_region,C27)+IF(D27=2040,SUMIFS(storage_capacity_2040,onshore_or_offshore,"Offshore storage",operational_category_medium,2,offshore_region,C27))+IF(D27=2050,SUMIFS(storage_capacity_2040,onshore_or_offshore,"Offshore storage",operational_category_medium,2,offshore_region,C27))+IF(D27=2050,SUMIFS(storage_capacity_2050,onshore_or_offshore,"Offshore storage",operational_category_medium,3,offshore_region,C27))</f>
        <v>13</v>
      </c>
      <c r="G27" s="25">
        <f>SUMIFS(storage_capacity_2030,onshore_or_offshore,"Offshore storage",operational_category_high,1,offshore_region,C27)+IF(D27=2040,SUMIFS(storage_capacity_2040,onshore_or_offshore,"Offshore storage",operational_category_high,2,offshore_region,C27))+IF(D27=2050,SUMIFS(storage_capacity_2040,onshore_or_offshore,"Offshore storage",operational_category_high,2,offshore_region,C27))+IF(D27=2050,SUMIFS(storage_capacity_2050,onshore_or_offshore,"Offshore storage",operational_category_high,3,offshore_region,C27))</f>
        <v>21</v>
      </c>
      <c r="H27" s="25" t="s">
        <v>27</v>
      </c>
    </row>
    <row r="28" spans="1:8">
      <c r="A28">
        <f>VLOOKUP($C28,offshore_nodes!$A$2:$C$20,3,FALSE)</f>
        <v>2</v>
      </c>
      <c r="B28" t="str">
        <f>VLOOKUP(C28,Table2[[OFF3]:[PECD]],2,FALSE)</f>
        <v>NL</v>
      </c>
      <c r="C28" s="22" t="s">
        <v>41</v>
      </c>
      <c r="D28" s="25">
        <v>2040</v>
      </c>
      <c r="E28" s="25">
        <f>SUMIFS(storage_capacity_2030,onshore_or_offshore,"Offshore storage",operational_category_low,1,offshore_region,C28)+IF(D28=2040,SUMIFS(storage_capacity_2040,onshore_or_offshore,"Offshore storage",operational_category_low,2,offshore_region,C28))+IF(D28=2050,SUMIFS(storage_capacity_2040,onshore_or_offshore,"Offshore storage",operational_category_low,2,offshore_region,C28))+IF(D28=2050,SUMIFS(storage_capacity_2050,onshore_or_offshore,"Offshore storage",operational_category_low,3,offshore_region,C28))</f>
        <v>2.5</v>
      </c>
      <c r="F28" s="25">
        <f>SUMIFS(storage_capacity_2030,onshore_or_offshore,"Offshore storage",operational_category_medium,1,offshore_region,C28)+IF(D28=2040,SUMIFS(storage_capacity_2040,onshore_or_offshore,"Offshore storage",operational_category_medium,2,offshore_region,C28))+IF(D28=2050,SUMIFS(storage_capacity_2040,onshore_or_offshore,"Offshore storage",operational_category_medium,2,offshore_region,C28))+IF(D28=2050,SUMIFS(storage_capacity_2050,onshore_or_offshore,"Offshore storage",operational_category_medium,3,offshore_region,C28))</f>
        <v>2.5</v>
      </c>
      <c r="G28" s="25">
        <f>SUMIFS(storage_capacity_2030,onshore_or_offshore,"Offshore storage",operational_category_high,1,offshore_region,C28)+IF(D28=2040,SUMIFS(storage_capacity_2040,onshore_or_offshore,"Offshore storage",operational_category_high,2,offshore_region,C28))+IF(D28=2050,SUMIFS(storage_capacity_2040,onshore_or_offshore,"Offshore storage",operational_category_high,2,offshore_region,C28))+IF(D28=2050,SUMIFS(storage_capacity_2050,onshore_or_offshore,"Offshore storage",operational_category_high,3,offshore_region,C28))</f>
        <v>6.2</v>
      </c>
      <c r="H28" s="25" t="s">
        <v>27</v>
      </c>
    </row>
    <row r="29" spans="1:8">
      <c r="A29">
        <f>VLOOKUP($C29,offshore_nodes!$A$2:$C$20,3,FALSE)</f>
        <v>1</v>
      </c>
      <c r="B29" t="str">
        <f>VLOOKUP(C29,Table2[[OFF3]:[PECD]],2,FALSE)</f>
        <v>NO</v>
      </c>
      <c r="C29" s="22" t="s">
        <v>42</v>
      </c>
      <c r="D29" s="25">
        <v>2040</v>
      </c>
      <c r="E29" s="25">
        <f>SUMIFS(storage_capacity_2030,onshore_or_offshore,"Offshore storage",operational_category_low,1,offshore_region,C29)+IF(D29=2040,SUMIFS(storage_capacity_2040,onshore_or_offshore,"Offshore storage",operational_category_low,2,offshore_region,C29))+IF(D29=2050,SUMIFS(storage_capacity_2040,onshore_or_offshore,"Offshore storage",operational_category_low,2,offshore_region,C29))+IF(D29=2050,SUMIFS(storage_capacity_2050,onshore_or_offshore,"Offshore storage",operational_category_low,3,offshore_region,C29))</f>
        <v>3.7</v>
      </c>
      <c r="F29" s="25">
        <f>SUMIFS(storage_capacity_2030,onshore_or_offshore,"Offshore storage",operational_category_medium,1,offshore_region,C29)+IF(D29=2040,SUMIFS(storage_capacity_2040,onshore_or_offshore,"Offshore storage",operational_category_medium,2,offshore_region,C29))+IF(D29=2050,SUMIFS(storage_capacity_2040,onshore_or_offshore,"Offshore storage",operational_category_medium,2,offshore_region,C29))+IF(D29=2050,SUMIFS(storage_capacity_2050,onshore_or_offshore,"Offshore storage",operational_category_medium,3,offshore_region,C29))</f>
        <v>3.7</v>
      </c>
      <c r="G29" s="25">
        <f>SUMIFS(storage_capacity_2030,onshore_or_offshore,"Offshore storage",operational_category_high,1,offshore_region,C29)+IF(D29=2040,SUMIFS(storage_capacity_2040,onshore_or_offshore,"Offshore storage",operational_category_high,2,offshore_region,C29))+IF(D29=2050,SUMIFS(storage_capacity_2040,onshore_or_offshore,"Offshore storage",operational_category_high,2,offshore_region,C29))+IF(D29=2050,SUMIFS(storage_capacity_2050,onshore_or_offshore,"Offshore storage",operational_category_high,3,offshore_region,C29))</f>
        <v>3.7</v>
      </c>
      <c r="H29" s="25" t="s">
        <v>27</v>
      </c>
    </row>
    <row r="30" spans="1:8">
      <c r="A30">
        <f>VLOOKUP($C30,offshore_nodes!$A$2:$C$20,3,FALSE)</f>
        <v>2</v>
      </c>
      <c r="B30" t="str">
        <f>VLOOKUP(C30,Table2[[OFF3]:[PECD]],2,FALSE)</f>
        <v>NO</v>
      </c>
      <c r="C30" s="22" t="s">
        <v>43</v>
      </c>
      <c r="D30" s="25">
        <v>2040</v>
      </c>
      <c r="E30" s="25">
        <f>SUMIFS(storage_capacity_2030,onshore_or_offshore,"Offshore storage",operational_category_low,1,offshore_region,C30)+IF(D30=2040,SUMIFS(storage_capacity_2040,onshore_or_offshore,"Offshore storage",operational_category_low,2,offshore_region,C30))+IF(D30=2050,SUMIFS(storage_capacity_2040,onshore_or_offshore,"Offshore storage",operational_category_low,2,offshore_region,C30))+IF(D30=2050,SUMIFS(storage_capacity_2050,onshore_or_offshore,"Offshore storage",operational_category_low,3,offshore_region,C30))</f>
        <v>30.2</v>
      </c>
      <c r="F30" s="25">
        <f>SUMIFS(storage_capacity_2030,onshore_or_offshore,"Offshore storage",operational_category_medium,1,offshore_region,C30)+IF(D30=2040,SUMIFS(storage_capacity_2040,onshore_or_offshore,"Offshore storage",operational_category_medium,2,offshore_region,C30))+IF(D30=2050,SUMIFS(storage_capacity_2040,onshore_or_offshore,"Offshore storage",operational_category_medium,2,offshore_region,C30))+IF(D30=2050,SUMIFS(storage_capacity_2050,onshore_or_offshore,"Offshore storage",operational_category_medium,3,offshore_region,C30))</f>
        <v>42.2</v>
      </c>
      <c r="G30" s="25">
        <f>SUMIFS(storage_capacity_2030,onshore_or_offshore,"Offshore storage",operational_category_high,1,offshore_region,C30)+IF(D30=2040,SUMIFS(storage_capacity_2040,onshore_or_offshore,"Offshore storage",operational_category_high,2,offshore_region,C30))+IF(D30=2050,SUMIFS(storage_capacity_2040,onshore_or_offshore,"Offshore storage",operational_category_high,2,offshore_region,C30))+IF(D30=2050,SUMIFS(storage_capacity_2050,onshore_or_offshore,"Offshore storage",operational_category_high,3,offshore_region,C30))</f>
        <v>50</v>
      </c>
      <c r="H30" s="25" t="s">
        <v>27</v>
      </c>
    </row>
    <row r="31" spans="1:8">
      <c r="A31">
        <f>VLOOKUP($C31,offshore_nodes!$A$2:$C$20,3,FALSE)</f>
        <v>3</v>
      </c>
      <c r="B31" t="str">
        <f>VLOOKUP(C31,Table2[[OFF3]:[PECD]],2,FALSE)</f>
        <v>NO</v>
      </c>
      <c r="C31" s="22" t="s">
        <v>44</v>
      </c>
      <c r="D31" s="25">
        <v>2040</v>
      </c>
      <c r="E31" s="25">
        <f>SUMIFS(storage_capacity_2030,onshore_or_offshore,"Offshore storage",operational_category_low,1,offshore_region,C31)+IF(D31=2040,SUMIFS(storage_capacity_2040,onshore_or_offshore,"Offshore storage",operational_category_low,2,offshore_region,C31))+IF(D31=2050,SUMIFS(storage_capacity_2040,onshore_or_offshore,"Offshore storage",operational_category_low,2,offshore_region,C31))+IF(D31=2050,SUMIFS(storage_capacity_2050,onshore_or_offshore,"Offshore storage",operational_category_low,3,offshore_region,C31))</f>
        <v>6</v>
      </c>
      <c r="F31" s="25">
        <f>SUMIFS(storage_capacity_2030,onshore_or_offshore,"Offshore storage",operational_category_medium,1,offshore_region,C31)+IF(D31=2040,SUMIFS(storage_capacity_2040,onshore_or_offshore,"Offshore storage",operational_category_medium,2,offshore_region,C31))+IF(D31=2050,SUMIFS(storage_capacity_2040,onshore_or_offshore,"Offshore storage",operational_category_medium,2,offshore_region,C31))+IF(D31=2050,SUMIFS(storage_capacity_2050,onshore_or_offshore,"Offshore storage",operational_category_medium,3,offshore_region,C31))</f>
        <v>15</v>
      </c>
      <c r="G31" s="25">
        <f>SUMIFS(storage_capacity_2030,onshore_or_offshore,"Offshore storage",operational_category_high,1,offshore_region,C31)+IF(D31=2040,SUMIFS(storage_capacity_2040,onshore_or_offshore,"Offshore storage",operational_category_high,2,offshore_region,C31))+IF(D31=2050,SUMIFS(storage_capacity_2040,onshore_or_offshore,"Offshore storage",operational_category_high,2,offshore_region,C31))+IF(D31=2050,SUMIFS(storage_capacity_2050,onshore_or_offshore,"Offshore storage",operational_category_high,3,offshore_region,C31))</f>
        <v>15</v>
      </c>
      <c r="H31" s="25" t="s">
        <v>27</v>
      </c>
    </row>
    <row r="32" spans="1:8">
      <c r="A32">
        <f>VLOOKUP($C32,offshore_nodes!$A$2:$C$20,3,FALSE)</f>
        <v>1</v>
      </c>
      <c r="B32" t="str">
        <f>VLOOKUP(C32,Table2[[OFF3]:[PECD]],2,FALSE)</f>
        <v>UK</v>
      </c>
      <c r="C32" s="22" t="s">
        <v>45</v>
      </c>
      <c r="D32" s="25">
        <v>2040</v>
      </c>
      <c r="E32" s="25">
        <f>SUMIFS(storage_capacity_2030,onshore_or_offshore,"Offshore storage",operational_category_low,1,offshore_region,C32)+IF(D32=2040,SUMIFS(storage_capacity_2040,onshore_or_offshore,"Offshore storage",operational_category_low,2,offshore_region,C32))+IF(D32=2050,SUMIFS(storage_capacity_2040,onshore_or_offshore,"Offshore storage",operational_category_low,2,offshore_region,C32))+IF(D32=2050,SUMIFS(storage_capacity_2050,onshore_or_offshore,"Offshore storage",operational_category_low,3,offshore_region,C32))</f>
        <v>0</v>
      </c>
      <c r="F32" s="25">
        <f>SUMIFS(storage_capacity_2030,onshore_or_offshore,"Offshore storage",operational_category_medium,1,offshore_region,C32)+IF(D32=2040,SUMIFS(storage_capacity_2040,onshore_or_offshore,"Offshore storage",operational_category_medium,2,offshore_region,C32))+IF(D32=2050,SUMIFS(storage_capacity_2040,onshore_or_offshore,"Offshore storage",operational_category_medium,2,offshore_region,C32))+IF(D32=2050,SUMIFS(storage_capacity_2050,onshore_or_offshore,"Offshore storage",operational_category_medium,3,offshore_region,C32))</f>
        <v>10</v>
      </c>
      <c r="G32" s="25">
        <f>SUMIFS(storage_capacity_2030,onshore_or_offshore,"Offshore storage",operational_category_high,1,offshore_region,C32)+IF(D32=2040,SUMIFS(storage_capacity_2040,onshore_or_offshore,"Offshore storage",operational_category_high,2,offshore_region,C32))+IF(D32=2050,SUMIFS(storage_capacity_2040,onshore_or_offshore,"Offshore storage",operational_category_high,2,offshore_region,C32))+IF(D32=2050,SUMIFS(storage_capacity_2050,onshore_or_offshore,"Offshore storage",operational_category_high,3,offshore_region,C32))</f>
        <v>10</v>
      </c>
      <c r="H32" s="25" t="s">
        <v>27</v>
      </c>
    </row>
    <row r="33" spans="1:8">
      <c r="A33">
        <f>VLOOKUP($C33,offshore_nodes!$A$2:$C$20,3,FALSE)</f>
        <v>2</v>
      </c>
      <c r="B33" t="str">
        <f>VLOOKUP(C33,Table2[[OFF3]:[PECD]],2,FALSE)</f>
        <v>UK</v>
      </c>
      <c r="C33" s="22" t="s">
        <v>46</v>
      </c>
      <c r="D33" s="25">
        <v>2040</v>
      </c>
      <c r="E33" s="25">
        <f>SUMIFS(storage_capacity_2030,onshore_or_offshore,"Offshore storage",operational_category_low,1,offshore_region,C33)+IF(D33=2040,SUMIFS(storage_capacity_2040,onshore_or_offshore,"Offshore storage",operational_category_low,2,offshore_region,C33))+IF(D33=2050,SUMIFS(storage_capacity_2040,onshore_or_offshore,"Offshore storage",operational_category_low,2,offshore_region,C33))+IF(D33=2050,SUMIFS(storage_capacity_2050,onshore_or_offshore,"Offshore storage",operational_category_low,3,offshore_region,C33))</f>
        <v>10</v>
      </c>
      <c r="F33" s="25">
        <f>SUMIFS(storage_capacity_2030,onshore_or_offshore,"Offshore storage",operational_category_medium,1,offshore_region,C33)+IF(D33=2040,SUMIFS(storage_capacity_2040,onshore_or_offshore,"Offshore storage",operational_category_medium,2,offshore_region,C33))+IF(D33=2050,SUMIFS(storage_capacity_2040,onshore_or_offshore,"Offshore storage",operational_category_medium,2,offshore_region,C33))+IF(D33=2050,SUMIFS(storage_capacity_2050,onshore_or_offshore,"Offshore storage",operational_category_medium,3,offshore_region,C33))</f>
        <v>10</v>
      </c>
      <c r="G33" s="25">
        <f>SUMIFS(storage_capacity_2030,onshore_or_offshore,"Offshore storage",operational_category_high,1,offshore_region,C33)+IF(D33=2040,SUMIFS(storage_capacity_2040,onshore_or_offshore,"Offshore storage",operational_category_high,2,offshore_region,C33))+IF(D33=2050,SUMIFS(storage_capacity_2040,onshore_or_offshore,"Offshore storage",operational_category_high,2,offshore_region,C33))+IF(D33=2050,SUMIFS(storage_capacity_2050,onshore_or_offshore,"Offshore storage",operational_category_high,3,offshore_region,C33))</f>
        <v>10</v>
      </c>
      <c r="H33" s="25" t="s">
        <v>27</v>
      </c>
    </row>
    <row r="34" spans="1:8">
      <c r="A34">
        <f>VLOOKUP($C34,offshore_nodes!$A$2:$C$20,3,FALSE)</f>
        <v>3</v>
      </c>
      <c r="B34" t="str">
        <f>VLOOKUP(C34,Table2[[OFF3]:[PECD]],2,FALSE)</f>
        <v>UK</v>
      </c>
      <c r="C34" s="22" t="s">
        <v>47</v>
      </c>
      <c r="D34" s="25">
        <v>2040</v>
      </c>
      <c r="E34" s="25">
        <f>SUMIFS(storage_capacity_2030,onshore_or_offshore,"Offshore storage",operational_category_low,1,offshore_region,C34)+IF(D34=2040,SUMIFS(storage_capacity_2040,onshore_or_offshore,"Offshore storage",operational_category_low,2,offshore_region,C34))+IF(D34=2050,SUMIFS(storage_capacity_2040,onshore_or_offshore,"Offshore storage",operational_category_low,2,offshore_region,C34))+IF(D34=2050,SUMIFS(storage_capacity_2050,onshore_or_offshore,"Offshore storage",operational_category_low,3,offshore_region,C34))</f>
        <v>0</v>
      </c>
      <c r="F34" s="25">
        <f>SUMIFS(storage_capacity_2030,onshore_or_offshore,"Offshore storage",operational_category_medium,1,offshore_region,C34)+IF(D34=2040,SUMIFS(storage_capacity_2040,onshore_or_offshore,"Offshore storage",operational_category_medium,2,offshore_region,C34))+IF(D34=2050,SUMIFS(storage_capacity_2040,onshore_or_offshore,"Offshore storage",operational_category_medium,2,offshore_region,C34))+IF(D34=2050,SUMIFS(storage_capacity_2050,onshore_or_offshore,"Offshore storage",operational_category_medium,3,offshore_region,C34))</f>
        <v>0</v>
      </c>
      <c r="G34" s="25">
        <f>SUMIFS(storage_capacity_2030,onshore_or_offshore,"Offshore storage",operational_category_high,1,offshore_region,C34)+IF(D34=2040,SUMIFS(storage_capacity_2040,onshore_or_offshore,"Offshore storage",operational_category_high,2,offshore_region,C34))+IF(D34=2050,SUMIFS(storage_capacity_2040,onshore_or_offshore,"Offshore storage",operational_category_high,2,offshore_region,C34))+IF(D34=2050,SUMIFS(storage_capacity_2050,onshore_or_offshore,"Offshore storage",operational_category_high,3,offshore_region,C34))</f>
        <v>25</v>
      </c>
      <c r="H34" s="25" t="s">
        <v>27</v>
      </c>
    </row>
    <row r="35" spans="1:8">
      <c r="A35">
        <f>VLOOKUP($C35,offshore_nodes!$A$2:$C$20,3,FALSE)</f>
        <v>4</v>
      </c>
      <c r="B35" t="str">
        <f>VLOOKUP(C35,Table2[[OFF3]:[PECD]],2,FALSE)</f>
        <v>UK</v>
      </c>
      <c r="C35" s="22" t="s">
        <v>48</v>
      </c>
      <c r="D35" s="25">
        <v>2040</v>
      </c>
      <c r="E35" s="25">
        <f>SUMIFS(storage_capacity_2030,onshore_or_offshore,"Offshore storage",operational_category_low,1,offshore_region,C35)+IF(D35=2040,SUMIFS(storage_capacity_2040,onshore_or_offshore,"Offshore storage",operational_category_low,2,offshore_region,C35))+IF(D35=2050,SUMIFS(storage_capacity_2040,onshore_or_offshore,"Offshore storage",operational_category_low,2,offshore_region,C35))+IF(D35=2050,SUMIFS(storage_capacity_2050,onshore_or_offshore,"Offshore storage",operational_category_low,3,offshore_region,C35))</f>
        <v>10</v>
      </c>
      <c r="F35" s="25">
        <f>SUMIFS(storage_capacity_2030,onshore_or_offshore,"Offshore storage",operational_category_medium,1,offshore_region,C35)+IF(D35=2040,SUMIFS(storage_capacity_2040,onshore_or_offshore,"Offshore storage",operational_category_medium,2,offshore_region,C35))+IF(D35=2050,SUMIFS(storage_capacity_2040,onshore_or_offshore,"Offshore storage",operational_category_medium,2,offshore_region,C35))+IF(D35=2050,SUMIFS(storage_capacity_2050,onshore_or_offshore,"Offshore storage",operational_category_medium,3,offshore_region,C35))</f>
        <v>10</v>
      </c>
      <c r="G35" s="25">
        <f>SUMIFS(storage_capacity_2030,onshore_or_offshore,"Offshore storage",operational_category_high,1,offshore_region,C35)+IF(D35=2040,SUMIFS(storage_capacity_2040,onshore_or_offshore,"Offshore storage",operational_category_high,2,offshore_region,C35))+IF(D35=2050,SUMIFS(storage_capacity_2040,onshore_or_offshore,"Offshore storage",operational_category_high,2,offshore_region,C35))+IF(D35=2050,SUMIFS(storage_capacity_2050,onshore_or_offshore,"Offshore storage",operational_category_high,3,offshore_region,C35))</f>
        <v>20</v>
      </c>
      <c r="H35" s="25" t="s">
        <v>27</v>
      </c>
    </row>
    <row r="36" spans="1:8">
      <c r="A36">
        <f>VLOOKUP($C36,offshore_nodes!$A$2:$C$20,3,FALSE)</f>
        <v>5</v>
      </c>
      <c r="B36" t="str">
        <f>VLOOKUP(C36,Table2[[OFF3]:[PECD]],2,FALSE)</f>
        <v>UK</v>
      </c>
      <c r="C36" s="22" t="s">
        <v>49</v>
      </c>
      <c r="D36" s="25">
        <v>2040</v>
      </c>
      <c r="E36" s="25">
        <f>SUMIFS(storage_capacity_2030,onshore_or_offshore,"Offshore storage",operational_category_low,1,offshore_region,C36)+IF(D36=2040,SUMIFS(storage_capacity_2040,onshore_or_offshore,"Offshore storage",operational_category_low,2,offshore_region,C36))+IF(D36=2050,SUMIFS(storage_capacity_2040,onshore_or_offshore,"Offshore storage",operational_category_low,2,offshore_region,C36))+IF(D36=2050,SUMIFS(storage_capacity_2050,onshore_or_offshore,"Offshore storage",operational_category_low,3,offshore_region,C36))</f>
        <v>0</v>
      </c>
      <c r="F36" s="25">
        <f>SUMIFS(storage_capacity_2030,onshore_or_offshore,"Offshore storage",operational_category_medium,1,offshore_region,C36)+IF(D36=2040,SUMIFS(storage_capacity_2040,onshore_or_offshore,"Offshore storage",operational_category_medium,2,offshore_region,C36))+IF(D36=2050,SUMIFS(storage_capacity_2040,onshore_or_offshore,"Offshore storage",operational_category_medium,2,offshore_region,C36))+IF(D36=2050,SUMIFS(storage_capacity_2050,onshore_or_offshore,"Offshore storage",operational_category_medium,3,offshore_region,C36))</f>
        <v>40</v>
      </c>
      <c r="G36" s="25">
        <f>SUMIFS(storage_capacity_2030,onshore_or_offshore,"Offshore storage",operational_category_high,1,offshore_region,C36)+IF(D36=2040,SUMIFS(storage_capacity_2040,onshore_or_offshore,"Offshore storage",operational_category_high,2,offshore_region,C36))+IF(D36=2050,SUMIFS(storage_capacity_2040,onshore_or_offshore,"Offshore storage",operational_category_high,2,offshore_region,C36))+IF(D36=2050,SUMIFS(storage_capacity_2050,onshore_or_offshore,"Offshore storage",operational_category_high,3,offshore_region,C36))</f>
        <v>40</v>
      </c>
      <c r="H36" s="25" t="s">
        <v>27</v>
      </c>
    </row>
    <row r="37" spans="1:8">
      <c r="A37">
        <f>VLOOKUP($C37,offshore_nodes!$A$2:$C$20,3,FALSE)</f>
        <v>6</v>
      </c>
      <c r="B37" t="str">
        <f>VLOOKUP(C37,Table2[[OFF3]:[PECD]],2,FALSE)</f>
        <v>UK</v>
      </c>
      <c r="C37" s="22" t="s">
        <v>50</v>
      </c>
      <c r="D37" s="25">
        <v>2040</v>
      </c>
      <c r="E37" s="25">
        <f>SUMIFS(storage_capacity_2030,onshore_or_offshore,"Offshore storage",operational_category_low,1,offshore_region,C37)+IF(D37=2040,SUMIFS(storage_capacity_2040,onshore_or_offshore,"Offshore storage",operational_category_low,2,offshore_region,C37))+IF(D37=2050,SUMIFS(storage_capacity_2040,onshore_or_offshore,"Offshore storage",operational_category_low,2,offshore_region,C37))+IF(D37=2050,SUMIFS(storage_capacity_2050,onshore_or_offshore,"Offshore storage",operational_category_low,3,offshore_region,C37))</f>
        <v>0</v>
      </c>
      <c r="F37" s="25">
        <f>SUMIFS(storage_capacity_2030,onshore_or_offshore,"Offshore storage",operational_category_medium,1,offshore_region,C37)+IF(D37=2040,SUMIFS(storage_capacity_2040,onshore_or_offshore,"Offshore storage",operational_category_medium,2,offshore_region,C37))+IF(D37=2050,SUMIFS(storage_capacity_2040,onshore_or_offshore,"Offshore storage",operational_category_medium,2,offshore_region,C37))+IF(D37=2050,SUMIFS(storage_capacity_2050,onshore_or_offshore,"Offshore storage",operational_category_medium,3,offshore_region,C37))</f>
        <v>1</v>
      </c>
      <c r="G37" s="25">
        <f>SUMIFS(storage_capacity_2030,onshore_or_offshore,"Offshore storage",operational_category_high,1,offshore_region,C37)+IF(D37=2040,SUMIFS(storage_capacity_2040,onshore_or_offshore,"Offshore storage",operational_category_high,2,offshore_region,C37))+IF(D37=2050,SUMIFS(storage_capacity_2040,onshore_or_offshore,"Offshore storage",operational_category_high,2,offshore_region,C37))+IF(D37=2050,SUMIFS(storage_capacity_2050,onshore_or_offshore,"Offshore storage",operational_category_high,3,offshore_region,C37))</f>
        <v>6</v>
      </c>
      <c r="H37" s="25" t="s">
        <v>27</v>
      </c>
    </row>
    <row r="38" spans="1:8">
      <c r="A38">
        <f>VLOOKUP($C38,offshore_nodes!$A$2:$C$20,3,FALSE)</f>
        <v>7</v>
      </c>
      <c r="B38" t="str">
        <f>VLOOKUP(C38,Table2[[OFF3]:[PECD]],2,FALSE)</f>
        <v>UK</v>
      </c>
      <c r="C38" s="22" t="s">
        <v>51</v>
      </c>
      <c r="D38" s="25">
        <v>2040</v>
      </c>
      <c r="E38" s="25">
        <f>SUMIFS(storage_capacity_2030,onshore_or_offshore,"Offshore storage",operational_category_low,1,offshore_region,C38)+IF(D38=2040,SUMIFS(storage_capacity_2040,onshore_or_offshore,"Offshore storage",operational_category_low,2,offshore_region,C38))+IF(D38=2050,SUMIFS(storage_capacity_2040,onshore_or_offshore,"Offshore storage",operational_category_low,2,offshore_region,C38))+IF(D38=2050,SUMIFS(storage_capacity_2050,onshore_or_offshore,"Offshore storage",operational_category_low,3,offshore_region,C38))</f>
        <v>25</v>
      </c>
      <c r="F38" s="25">
        <f>SUMIFS(storage_capacity_2030,onshore_or_offshore,"Offshore storage",operational_category_medium,1,offshore_region,C38)+IF(D38=2040,SUMIFS(storage_capacity_2040,onshore_or_offshore,"Offshore storage",operational_category_medium,2,offshore_region,C38))+IF(D38=2050,SUMIFS(storage_capacity_2040,onshore_or_offshore,"Offshore storage",operational_category_medium,2,offshore_region,C38))+IF(D38=2050,SUMIFS(storage_capacity_2050,onshore_or_offshore,"Offshore storage",operational_category_medium,3,offshore_region,C38))</f>
        <v>33</v>
      </c>
      <c r="G38" s="25">
        <f>SUMIFS(storage_capacity_2030,onshore_or_offshore,"Offshore storage",operational_category_high,1,offshore_region,C38)+IF(D38=2040,SUMIFS(storage_capacity_2040,onshore_or_offshore,"Offshore storage",operational_category_high,2,offshore_region,C38))+IF(D38=2050,SUMIFS(storage_capacity_2040,onshore_or_offshore,"Offshore storage",operational_category_high,2,offshore_region,C38))+IF(D38=2050,SUMIFS(storage_capacity_2050,onshore_or_offshore,"Offshore storage",operational_category_high,3,offshore_region,C38))</f>
        <v>33</v>
      </c>
      <c r="H38" s="25" t="s">
        <v>27</v>
      </c>
    </row>
    <row r="39" spans="1:8">
      <c r="A39">
        <f>VLOOKUP($C39,offshore_nodes!$A$2:$C$20,3,FALSE)</f>
        <v>8</v>
      </c>
      <c r="B39" t="str">
        <f>VLOOKUP(C39,Table2[[OFF3]:[PECD]],2,FALSE)</f>
        <v>UK</v>
      </c>
      <c r="C39" s="22" t="s">
        <v>52</v>
      </c>
      <c r="D39" s="25">
        <v>2040</v>
      </c>
      <c r="E39" s="25">
        <f>SUMIFS(storage_capacity_2030,onshore_or_offshore,"Offshore storage",operational_category_low,1,offshore_region,C39)+IF(D39=2040,SUMIFS(storage_capacity_2040,onshore_or_offshore,"Offshore storage",operational_category_low,2,offshore_region,C39))+IF(D39=2050,SUMIFS(storage_capacity_2040,onshore_or_offshore,"Offshore storage",operational_category_low,2,offshore_region,C39))+IF(D39=2050,SUMIFS(storage_capacity_2050,onshore_or_offshore,"Offshore storage",operational_category_low,3,offshore_region,C39))</f>
        <v>5</v>
      </c>
      <c r="F39" s="25">
        <f>SUMIFS(storage_capacity_2030,onshore_or_offshore,"Offshore storage",operational_category_medium,1,offshore_region,C39)+IF(D39=2040,SUMIFS(storage_capacity_2040,onshore_or_offshore,"Offshore storage",operational_category_medium,2,offshore_region,C39))+IF(D39=2050,SUMIFS(storage_capacity_2040,onshore_or_offshore,"Offshore storage",operational_category_medium,2,offshore_region,C39))+IF(D39=2050,SUMIFS(storage_capacity_2050,onshore_or_offshore,"Offshore storage",operational_category_medium,3,offshore_region,C39))</f>
        <v>5</v>
      </c>
      <c r="G39" s="25">
        <f>SUMIFS(storage_capacity_2030,onshore_or_offshore,"Offshore storage",operational_category_high,1,offshore_region,C39)+IF(D39=2040,SUMIFS(storage_capacity_2040,onshore_or_offshore,"Offshore storage",operational_category_high,2,offshore_region,C39))+IF(D39=2050,SUMIFS(storage_capacity_2040,onshore_or_offshore,"Offshore storage",operational_category_high,2,offshore_region,C39))+IF(D39=2050,SUMIFS(storage_capacity_2050,onshore_or_offshore,"Offshore storage",operational_category_high,3,offshore_region,C39))</f>
        <v>20</v>
      </c>
      <c r="H39" s="25" t="s">
        <v>27</v>
      </c>
    </row>
    <row r="40" spans="1:8">
      <c r="A40">
        <f>VLOOKUP($C40,offshore_nodes!$A$2:$C$20,3,FALSE)</f>
        <v>1</v>
      </c>
      <c r="B40" t="str">
        <f>VLOOKUP(C40,Table2[[OFF3]:[PECD]],2,FALSE)</f>
        <v>DE</v>
      </c>
      <c r="C40" s="22" t="s">
        <v>34</v>
      </c>
      <c r="D40" s="25">
        <v>2050</v>
      </c>
      <c r="E40" s="25">
        <f>SUMIFS(storage_capacity_2030,onshore_or_offshore,"Offshore storage",operational_category_low,1,offshore_region,C40)+IF(D40=2040,SUMIFS(storage_capacity_2040,onshore_or_offshore,"Offshore storage",operational_category_low,2,offshore_region,C40))+IF(D40=2050,SUMIFS(storage_capacity_2040,onshore_or_offshore,"Offshore storage",operational_category_low,2,offshore_region,C40))+IF(D40=2050,SUMIFS(storage_capacity_2050,onshore_or_offshore,"Offshore storage",operational_category_low,3,offshore_region,C40))</f>
        <v>0</v>
      </c>
      <c r="F40" s="25">
        <f>SUMIFS(storage_capacity_2030,onshore_or_offshore,"Offshore storage",operational_category_medium,1,offshore_region,C40)+IF(D40=2040,SUMIFS(storage_capacity_2040,onshore_or_offshore,"Offshore storage",operational_category_medium,2,offshore_region,C40))+IF(D40=2050,SUMIFS(storage_capacity_2040,onshore_or_offshore,"Offshore storage",operational_category_medium,2,offshore_region,C40))+IF(D40=2050,SUMIFS(storage_capacity_2050,onshore_or_offshore,"Offshore storage",operational_category_medium,3,offshore_region,C40))</f>
        <v>0</v>
      </c>
      <c r="G40" s="25">
        <f>SUMIFS(storage_capacity_2030,onshore_or_offshore,"Offshore storage",operational_category_high,1,offshore_region,C40)+IF(D40=2040,SUMIFS(storage_capacity_2040,onshore_or_offshore,"Offshore storage",operational_category_high,2,offshore_region,C40))+IF(D40=2050,SUMIFS(storage_capacity_2040,onshore_or_offshore,"Offshore storage",operational_category_high,2,offshore_region,C40))+IF(D40=2050,SUMIFS(storage_capacity_2050,onshore_or_offshore,"Offshore storage",operational_category_high,3,offshore_region,C40))</f>
        <v>60</v>
      </c>
      <c r="H40" s="25" t="s">
        <v>27</v>
      </c>
    </row>
    <row r="41" spans="1:8">
      <c r="A41">
        <f>VLOOKUP($C41,offshore_nodes!$A$2:$C$20,3,FALSE)</f>
        <v>1</v>
      </c>
      <c r="B41" t="str">
        <f>VLOOKUP(C41,Table2[[OFF3]:[PECD]],2,FALSE)</f>
        <v>DK</v>
      </c>
      <c r="C41" s="22" t="s">
        <v>35</v>
      </c>
      <c r="D41" s="25">
        <v>2050</v>
      </c>
      <c r="E41" s="25">
        <f>SUMIFS(storage_capacity_2030,onshore_or_offshore,"Offshore storage",operational_category_low,1,offshore_region,C41)+IF(D41=2040,SUMIFS(storage_capacity_2040,onshore_or_offshore,"Offshore storage",operational_category_low,2,offshore_region,C41))+IF(D41=2050,SUMIFS(storage_capacity_2040,onshore_or_offshore,"Offshore storage",operational_category_low,2,offshore_region,C41))+IF(D41=2050,SUMIFS(storage_capacity_2050,onshore_or_offshore,"Offshore storage",operational_category_low,3,offshore_region,C41))</f>
        <v>11</v>
      </c>
      <c r="F41" s="25">
        <f>SUMIFS(storage_capacity_2030,onshore_or_offshore,"Offshore storage",operational_category_medium,1,offshore_region,C41)+IF(D41=2040,SUMIFS(storage_capacity_2040,onshore_or_offshore,"Offshore storage",operational_category_medium,2,offshore_region,C41))+IF(D41=2050,SUMIFS(storage_capacity_2040,onshore_or_offshore,"Offshore storage",operational_category_medium,2,offshore_region,C41))+IF(D41=2050,SUMIFS(storage_capacity_2050,onshore_or_offshore,"Offshore storage",operational_category_medium,3,offshore_region,C41))</f>
        <v>11</v>
      </c>
      <c r="G41" s="25">
        <f>SUMIFS(storage_capacity_2030,onshore_or_offshore,"Offshore storage",operational_category_high,1,offshore_region,C41)+IF(D41=2040,SUMIFS(storage_capacity_2040,onshore_or_offshore,"Offshore storage",operational_category_high,2,offshore_region,C41))+IF(D41=2050,SUMIFS(storage_capacity_2040,onshore_or_offshore,"Offshore storage",operational_category_high,2,offshore_region,C41))+IF(D41=2050,SUMIFS(storage_capacity_2050,onshore_or_offshore,"Offshore storage",operational_category_high,3,offshore_region,C41))</f>
        <v>11</v>
      </c>
      <c r="H41" s="25" t="s">
        <v>27</v>
      </c>
    </row>
    <row r="42" spans="1:8">
      <c r="A42">
        <f>VLOOKUP($C42,offshore_nodes!$A$2:$C$20,3,FALSE)</f>
        <v>1</v>
      </c>
      <c r="B42" t="str">
        <f>VLOOKUP(C42,Table2[[OFF3]:[PECD]],2,FALSE)</f>
        <v>ES</v>
      </c>
      <c r="C42" s="22" t="s">
        <v>36</v>
      </c>
      <c r="D42" s="25">
        <v>2050</v>
      </c>
      <c r="E42" s="25">
        <f>SUMIFS(storage_capacity_2030,onshore_or_offshore,"Offshore storage",operational_category_low,1,offshore_region,C42)+IF(D42=2040,SUMIFS(storage_capacity_2040,onshore_or_offshore,"Offshore storage",operational_category_low,2,offshore_region,C42))+IF(D42=2050,SUMIFS(storage_capacity_2040,onshore_or_offshore,"Offshore storage",operational_category_low,2,offshore_region,C42))+IF(D42=2050,SUMIFS(storage_capacity_2050,onshore_or_offshore,"Offshore storage",operational_category_low,3,offshore_region,C42))</f>
        <v>0</v>
      </c>
      <c r="F42" s="25">
        <f>SUMIFS(storage_capacity_2030,onshore_or_offshore,"Offshore storage",operational_category_medium,1,offshore_region,C42)+IF(D42=2040,SUMIFS(storage_capacity_2040,onshore_or_offshore,"Offshore storage",operational_category_medium,2,offshore_region,C42))+IF(D42=2050,SUMIFS(storage_capacity_2040,onshore_or_offshore,"Offshore storage",operational_category_medium,2,offshore_region,C42))+IF(D42=2050,SUMIFS(storage_capacity_2050,onshore_or_offshore,"Offshore storage",operational_category_medium,3,offshore_region,C42))</f>
        <v>2</v>
      </c>
      <c r="G42" s="25">
        <f>SUMIFS(storage_capacity_2030,onshore_or_offshore,"Offshore storage",operational_category_high,1,offshore_region,C42)+IF(D42=2040,SUMIFS(storage_capacity_2040,onshore_or_offshore,"Offshore storage",operational_category_high,2,offshore_region,C42))+IF(D42=2050,SUMIFS(storage_capacity_2040,onshore_or_offshore,"Offshore storage",operational_category_high,2,offshore_region,C42))+IF(D42=2050,SUMIFS(storage_capacity_2050,onshore_or_offshore,"Offshore storage",operational_category_high,3,offshore_region,C42))</f>
        <v>2</v>
      </c>
      <c r="H42" s="25" t="s">
        <v>27</v>
      </c>
    </row>
    <row r="43" spans="1:8">
      <c r="A43">
        <f>VLOOKUP($C43,offshore_nodes!$A$2:$C$20,3,FALSE)</f>
        <v>1</v>
      </c>
      <c r="B43" t="str">
        <f>VLOOKUP(C43,Table2[[OFF3]:[PECD]],2,FALSE)</f>
        <v>GR</v>
      </c>
      <c r="C43" s="22" t="s">
        <v>37</v>
      </c>
      <c r="D43" s="25">
        <v>2050</v>
      </c>
      <c r="E43" s="25">
        <f>SUMIFS(storage_capacity_2030,onshore_or_offshore,"Offshore storage",operational_category_low,1,offshore_region,C43)+IF(D43=2040,SUMIFS(storage_capacity_2040,onshore_or_offshore,"Offshore storage",operational_category_low,2,offshore_region,C43))+IF(D43=2050,SUMIFS(storage_capacity_2040,onshore_or_offshore,"Offshore storage",operational_category_low,2,offshore_region,C43))+IF(D43=2050,SUMIFS(storage_capacity_2050,onshore_or_offshore,"Offshore storage",operational_category_low,3,offshore_region,C43))</f>
        <v>2.5</v>
      </c>
      <c r="F43" s="25">
        <f>SUMIFS(storage_capacity_2030,onshore_or_offshore,"Offshore storage",operational_category_medium,1,offshore_region,C43)+IF(D43=2040,SUMIFS(storage_capacity_2040,onshore_or_offshore,"Offshore storage",operational_category_medium,2,offshore_region,C43))+IF(D43=2050,SUMIFS(storage_capacity_2040,onshore_or_offshore,"Offshore storage",operational_category_medium,2,offshore_region,C43))+IF(D43=2050,SUMIFS(storage_capacity_2050,onshore_or_offshore,"Offshore storage",operational_category_medium,3,offshore_region,C43))</f>
        <v>2.5</v>
      </c>
      <c r="G43" s="25">
        <f>SUMIFS(storage_capacity_2030,onshore_or_offshore,"Offshore storage",operational_category_high,1,offshore_region,C43)+IF(D43=2040,SUMIFS(storage_capacity_2040,onshore_or_offshore,"Offshore storage",operational_category_high,2,offshore_region,C43))+IF(D43=2050,SUMIFS(storage_capacity_2040,onshore_or_offshore,"Offshore storage",operational_category_high,2,offshore_region,C43))+IF(D43=2050,SUMIFS(storage_capacity_2050,onshore_or_offshore,"Offshore storage",operational_category_high,3,offshore_region,C43))</f>
        <v>2.5</v>
      </c>
      <c r="H43" s="25" t="s">
        <v>27</v>
      </c>
    </row>
    <row r="44" spans="1:8">
      <c r="A44">
        <f>VLOOKUP($C44,offshore_nodes!$A$2:$C$20,3,FALSE)</f>
        <v>1</v>
      </c>
      <c r="B44" t="str">
        <f>VLOOKUP(C44,Table2[[OFF3]:[PECD]],2,FALSE)</f>
        <v>IE</v>
      </c>
      <c r="C44" s="22" t="s">
        <v>38</v>
      </c>
      <c r="D44" s="25">
        <v>2050</v>
      </c>
      <c r="E44" s="25">
        <f>SUMIFS(storage_capacity_2030,onshore_or_offshore,"Offshore storage",operational_category_low,1,offshore_region,C44)+IF(D44=2040,SUMIFS(storage_capacity_2040,onshore_or_offshore,"Offshore storage",operational_category_low,2,offshore_region,C44))+IF(D44=2050,SUMIFS(storage_capacity_2040,onshore_or_offshore,"Offshore storage",operational_category_low,2,offshore_region,C44))+IF(D44=2050,SUMIFS(storage_capacity_2050,onshore_or_offshore,"Offshore storage",operational_category_low,3,offshore_region,C44))</f>
        <v>2.5</v>
      </c>
      <c r="F44" s="25">
        <f>SUMIFS(storage_capacity_2030,onshore_or_offshore,"Offshore storage",operational_category_medium,1,offshore_region,C44)+IF(D44=2040,SUMIFS(storage_capacity_2040,onshore_or_offshore,"Offshore storage",operational_category_medium,2,offshore_region,C44))+IF(D44=2050,SUMIFS(storage_capacity_2040,onshore_or_offshore,"Offshore storage",operational_category_medium,2,offshore_region,C44))+IF(D44=2050,SUMIFS(storage_capacity_2050,onshore_or_offshore,"Offshore storage",operational_category_medium,3,offshore_region,C44))</f>
        <v>2.5</v>
      </c>
      <c r="G44" s="25">
        <f>SUMIFS(storage_capacity_2030,onshore_or_offshore,"Offshore storage",operational_category_high,1,offshore_region,C44)+IF(D44=2040,SUMIFS(storage_capacity_2040,onshore_or_offshore,"Offshore storage",operational_category_high,2,offshore_region,C44))+IF(D44=2050,SUMIFS(storage_capacity_2040,onshore_or_offshore,"Offshore storage",operational_category_high,2,offshore_region,C44))+IF(D44=2050,SUMIFS(storage_capacity_2050,onshore_or_offshore,"Offshore storage",operational_category_high,3,offshore_region,C44))</f>
        <v>2.5</v>
      </c>
      <c r="H44" s="25" t="s">
        <v>27</v>
      </c>
    </row>
    <row r="45" spans="1:8">
      <c r="A45">
        <f>VLOOKUP($C45,offshore_nodes!$A$2:$C$20,3,FALSE)</f>
        <v>1</v>
      </c>
      <c r="B45" t="str">
        <f>VLOOKUP(C45,Table2[[OFF3]:[PECD]],2,FALSE)</f>
        <v>IT</v>
      </c>
      <c r="C45" s="22" t="s">
        <v>39</v>
      </c>
      <c r="D45" s="25">
        <v>2050</v>
      </c>
      <c r="E45" s="25">
        <f>SUMIFS(storage_capacity_2030,onshore_or_offshore,"Offshore storage",operational_category_low,1,offshore_region,C45)+IF(D45=2040,SUMIFS(storage_capacity_2040,onshore_or_offshore,"Offshore storage",operational_category_low,2,offshore_region,C45))+IF(D45=2050,SUMIFS(storage_capacity_2040,onshore_or_offshore,"Offshore storage",operational_category_low,2,offshore_region,C45))+IF(D45=2050,SUMIFS(storage_capacity_2050,onshore_or_offshore,"Offshore storage",operational_category_low,3,offshore_region,C45))</f>
        <v>4</v>
      </c>
      <c r="F45" s="25">
        <f>SUMIFS(storage_capacity_2030,onshore_or_offshore,"Offshore storage",operational_category_medium,1,offshore_region,C45)+IF(D45=2040,SUMIFS(storage_capacity_2040,onshore_or_offshore,"Offshore storage",operational_category_medium,2,offshore_region,C45))+IF(D45=2050,SUMIFS(storage_capacity_2040,onshore_or_offshore,"Offshore storage",operational_category_medium,2,offshore_region,C45))+IF(D45=2050,SUMIFS(storage_capacity_2050,onshore_or_offshore,"Offshore storage",operational_category_medium,3,offshore_region,C45))</f>
        <v>4</v>
      </c>
      <c r="G45" s="25">
        <f>SUMIFS(storage_capacity_2030,onshore_or_offshore,"Offshore storage",operational_category_high,1,offshore_region,C45)+IF(D45=2040,SUMIFS(storage_capacity_2040,onshore_or_offshore,"Offshore storage",operational_category_high,2,offshore_region,C45))+IF(D45=2050,SUMIFS(storage_capacity_2040,onshore_or_offshore,"Offshore storage",operational_category_high,2,offshore_region,C45))+IF(D45=2050,SUMIFS(storage_capacity_2050,onshore_or_offshore,"Offshore storage",operational_category_high,3,offshore_region,C45))</f>
        <v>4</v>
      </c>
      <c r="H45" s="25" t="s">
        <v>27</v>
      </c>
    </row>
    <row r="46" spans="1:8">
      <c r="A46">
        <f>VLOOKUP($C46,offshore_nodes!$A$2:$C$20,3,FALSE)</f>
        <v>1</v>
      </c>
      <c r="B46" t="str">
        <f>VLOOKUP(C46,Table2[[OFF3]:[PECD]],2,FALSE)</f>
        <v>NL</v>
      </c>
      <c r="C46" s="22" t="s">
        <v>40</v>
      </c>
      <c r="D46" s="25">
        <v>2050</v>
      </c>
      <c r="E46" s="25">
        <f>SUMIFS(storage_capacity_2030,onshore_or_offshore,"Offshore storage",operational_category_low,1,offshore_region,C46)+IF(D46=2040,SUMIFS(storage_capacity_2040,onshore_or_offshore,"Offshore storage",operational_category_low,2,offshore_region,C46))+IF(D46=2050,SUMIFS(storage_capacity_2040,onshore_or_offshore,"Offshore storage",operational_category_low,2,offshore_region,C46))+IF(D46=2050,SUMIFS(storage_capacity_2050,onshore_or_offshore,"Offshore storage",operational_category_low,3,offshore_region,C46))</f>
        <v>8</v>
      </c>
      <c r="F46" s="25">
        <f>SUMIFS(storage_capacity_2030,onshore_or_offshore,"Offshore storage",operational_category_medium,1,offshore_region,C46)+IF(D46=2040,SUMIFS(storage_capacity_2040,onshore_or_offshore,"Offshore storage",operational_category_medium,2,offshore_region,C46))+IF(D46=2050,SUMIFS(storage_capacity_2040,onshore_or_offshore,"Offshore storage",operational_category_medium,2,offshore_region,C46))+IF(D46=2050,SUMIFS(storage_capacity_2050,onshore_or_offshore,"Offshore storage",operational_category_medium,3,offshore_region,C46))</f>
        <v>21</v>
      </c>
      <c r="G46" s="25">
        <f>SUMIFS(storage_capacity_2030,onshore_or_offshore,"Offshore storage",operational_category_high,1,offshore_region,C46)+IF(D46=2040,SUMIFS(storage_capacity_2040,onshore_or_offshore,"Offshore storage",operational_category_high,2,offshore_region,C46))+IF(D46=2050,SUMIFS(storage_capacity_2040,onshore_or_offshore,"Offshore storage",operational_category_high,2,offshore_region,C46))+IF(D46=2050,SUMIFS(storage_capacity_2050,onshore_or_offshore,"Offshore storage",operational_category_high,3,offshore_region,C46))</f>
        <v>21</v>
      </c>
      <c r="H46" s="25" t="s">
        <v>27</v>
      </c>
    </row>
    <row r="47" spans="1:8">
      <c r="A47">
        <f>VLOOKUP($C47,offshore_nodes!$A$2:$C$20,3,FALSE)</f>
        <v>2</v>
      </c>
      <c r="B47" t="str">
        <f>VLOOKUP(C47,Table2[[OFF3]:[PECD]],2,FALSE)</f>
        <v>NL</v>
      </c>
      <c r="C47" s="22" t="s">
        <v>41</v>
      </c>
      <c r="D47" s="25">
        <v>2050</v>
      </c>
      <c r="E47" s="25">
        <f>SUMIFS(storage_capacity_2030,onshore_or_offshore,"Offshore storage",operational_category_low,1,offshore_region,C47)+IF(D47=2040,SUMIFS(storage_capacity_2040,onshore_or_offshore,"Offshore storage",operational_category_low,2,offshore_region,C47))+IF(D47=2050,SUMIFS(storage_capacity_2040,onshore_or_offshore,"Offshore storage",operational_category_low,2,offshore_region,C47))+IF(D47=2050,SUMIFS(storage_capacity_2050,onshore_or_offshore,"Offshore storage",operational_category_low,3,offshore_region,C47))</f>
        <v>2.5</v>
      </c>
      <c r="F47" s="25">
        <f>SUMIFS(storage_capacity_2030,onshore_or_offshore,"Offshore storage",operational_category_medium,1,offshore_region,C47)+IF(D47=2040,SUMIFS(storage_capacity_2040,onshore_or_offshore,"Offshore storage",operational_category_medium,2,offshore_region,C47))+IF(D47=2050,SUMIFS(storage_capacity_2040,onshore_or_offshore,"Offshore storage",operational_category_medium,2,offshore_region,C47))+IF(D47=2050,SUMIFS(storage_capacity_2050,onshore_or_offshore,"Offshore storage",operational_category_medium,3,offshore_region,C47))</f>
        <v>6.2</v>
      </c>
      <c r="G47" s="25">
        <f>SUMIFS(storage_capacity_2030,onshore_or_offshore,"Offshore storage",operational_category_high,1,offshore_region,C47)+IF(D47=2040,SUMIFS(storage_capacity_2040,onshore_or_offshore,"Offshore storage",operational_category_high,2,offshore_region,C47))+IF(D47=2050,SUMIFS(storage_capacity_2040,onshore_or_offshore,"Offshore storage",operational_category_high,2,offshore_region,C47))+IF(D47=2050,SUMIFS(storage_capacity_2050,onshore_or_offshore,"Offshore storage",operational_category_high,3,offshore_region,C47))</f>
        <v>6.2</v>
      </c>
      <c r="H47" s="25" t="s">
        <v>27</v>
      </c>
    </row>
    <row r="48" spans="1:8">
      <c r="A48">
        <f>VLOOKUP($C48,offshore_nodes!$A$2:$C$20,3,FALSE)</f>
        <v>1</v>
      </c>
      <c r="B48" t="str">
        <f>VLOOKUP(C48,Table2[[OFF3]:[PECD]],2,FALSE)</f>
        <v>NO</v>
      </c>
      <c r="C48" s="22" t="s">
        <v>42</v>
      </c>
      <c r="D48" s="25">
        <v>2050</v>
      </c>
      <c r="E48" s="25">
        <f>SUMIFS(storage_capacity_2030,onshore_or_offshore,"Offshore storage",operational_category_low,1,offshore_region,C48)+IF(D48=2040,SUMIFS(storage_capacity_2040,onshore_or_offshore,"Offshore storage",operational_category_low,2,offshore_region,C48))+IF(D48=2050,SUMIFS(storage_capacity_2040,onshore_or_offshore,"Offshore storage",operational_category_low,2,offshore_region,C48))+IF(D48=2050,SUMIFS(storage_capacity_2050,onshore_or_offshore,"Offshore storage",operational_category_low,3,offshore_region,C48))</f>
        <v>3.7</v>
      </c>
      <c r="F48" s="25">
        <f>SUMIFS(storage_capacity_2030,onshore_or_offshore,"Offshore storage",operational_category_medium,1,offshore_region,C48)+IF(D48=2040,SUMIFS(storage_capacity_2040,onshore_or_offshore,"Offshore storage",operational_category_medium,2,offshore_region,C48))+IF(D48=2050,SUMIFS(storage_capacity_2040,onshore_or_offshore,"Offshore storage",operational_category_medium,2,offshore_region,C48))+IF(D48=2050,SUMIFS(storage_capacity_2050,onshore_or_offshore,"Offshore storage",operational_category_medium,3,offshore_region,C48))</f>
        <v>3.7</v>
      </c>
      <c r="G48" s="25">
        <f>SUMIFS(storage_capacity_2030,onshore_or_offshore,"Offshore storage",operational_category_high,1,offshore_region,C48)+IF(D48=2040,SUMIFS(storage_capacity_2040,onshore_or_offshore,"Offshore storage",operational_category_high,2,offshore_region,C48))+IF(D48=2050,SUMIFS(storage_capacity_2040,onshore_or_offshore,"Offshore storage",operational_category_high,2,offshore_region,C48))+IF(D48=2050,SUMIFS(storage_capacity_2050,onshore_or_offshore,"Offshore storage",operational_category_high,3,offshore_region,C48))</f>
        <v>3.7</v>
      </c>
      <c r="H48" s="25" t="s">
        <v>27</v>
      </c>
    </row>
    <row r="49" spans="1:8">
      <c r="A49">
        <f>VLOOKUP($C49,offshore_nodes!$A$2:$C$20,3,FALSE)</f>
        <v>2</v>
      </c>
      <c r="B49" t="str">
        <f>VLOOKUP(C49,Table2[[OFF3]:[PECD]],2,FALSE)</f>
        <v>NO</v>
      </c>
      <c r="C49" s="22" t="s">
        <v>43</v>
      </c>
      <c r="D49" s="25">
        <v>2050</v>
      </c>
      <c r="E49" s="25">
        <f>SUMIFS(storage_capacity_2030,onshore_or_offshore,"Offshore storage",operational_category_low,1,offshore_region,C49)+IF(D49=2040,SUMIFS(storage_capacity_2040,onshore_or_offshore,"Offshore storage",operational_category_low,2,offshore_region,C49))+IF(D49=2050,SUMIFS(storage_capacity_2040,onshore_or_offshore,"Offshore storage",operational_category_low,2,offshore_region,C49))+IF(D49=2050,SUMIFS(storage_capacity_2050,onshore_or_offshore,"Offshore storage",operational_category_low,3,offshore_region,C49))</f>
        <v>37.200000000000003</v>
      </c>
      <c r="F49" s="25">
        <f>SUMIFS(storage_capacity_2030,onshore_or_offshore,"Offshore storage",operational_category_medium,1,offshore_region,C49)+IF(D49=2040,SUMIFS(storage_capacity_2040,onshore_or_offshore,"Offshore storage",operational_category_medium,2,offshore_region,C49))+IF(D49=2050,SUMIFS(storage_capacity_2040,onshore_or_offshore,"Offshore storage",operational_category_medium,2,offshore_region,C49))+IF(D49=2050,SUMIFS(storage_capacity_2050,onshore_or_offshore,"Offshore storage",operational_category_medium,3,offshore_region,C49))</f>
        <v>50</v>
      </c>
      <c r="G49" s="25">
        <f>SUMIFS(storage_capacity_2030,onshore_or_offshore,"Offshore storage",operational_category_high,1,offshore_region,C49)+IF(D49=2040,SUMIFS(storage_capacity_2040,onshore_or_offshore,"Offshore storage",operational_category_high,2,offshore_region,C49))+IF(D49=2050,SUMIFS(storage_capacity_2040,onshore_or_offshore,"Offshore storage",operational_category_high,2,offshore_region,C49))+IF(D49=2050,SUMIFS(storage_capacity_2050,onshore_or_offshore,"Offshore storage",operational_category_high,3,offshore_region,C49))</f>
        <v>50</v>
      </c>
      <c r="H49" s="25" t="s">
        <v>27</v>
      </c>
    </row>
    <row r="50" spans="1:8">
      <c r="A50">
        <f>VLOOKUP($C50,offshore_nodes!$A$2:$C$20,3,FALSE)</f>
        <v>3</v>
      </c>
      <c r="B50" t="str">
        <f>VLOOKUP(C50,Table2[[OFF3]:[PECD]],2,FALSE)</f>
        <v>NO</v>
      </c>
      <c r="C50" s="22" t="s">
        <v>44</v>
      </c>
      <c r="D50" s="25">
        <v>2050</v>
      </c>
      <c r="E50" s="25">
        <f>SUMIFS(storage_capacity_2030,onshore_or_offshore,"Offshore storage",operational_category_low,1,offshore_region,C50)+IF(D50=2040,SUMIFS(storage_capacity_2040,onshore_or_offshore,"Offshore storage",operational_category_low,2,offshore_region,C50))+IF(D50=2050,SUMIFS(storage_capacity_2040,onshore_or_offshore,"Offshore storage",operational_category_low,2,offshore_region,C50))+IF(D50=2050,SUMIFS(storage_capacity_2050,onshore_or_offshore,"Offshore storage",operational_category_low,3,offshore_region,C50))</f>
        <v>15</v>
      </c>
      <c r="F50" s="25">
        <f>SUMIFS(storage_capacity_2030,onshore_or_offshore,"Offshore storage",operational_category_medium,1,offshore_region,C50)+IF(D50=2040,SUMIFS(storage_capacity_2040,onshore_or_offshore,"Offshore storage",operational_category_medium,2,offshore_region,C50))+IF(D50=2050,SUMIFS(storage_capacity_2040,onshore_or_offshore,"Offshore storage",operational_category_medium,2,offshore_region,C50))+IF(D50=2050,SUMIFS(storage_capacity_2050,onshore_or_offshore,"Offshore storage",operational_category_medium,3,offshore_region,C50))</f>
        <v>15</v>
      </c>
      <c r="G50" s="25">
        <f>SUMIFS(storage_capacity_2030,onshore_or_offshore,"Offshore storage",operational_category_high,1,offshore_region,C50)+IF(D50=2040,SUMIFS(storage_capacity_2040,onshore_or_offshore,"Offshore storage",operational_category_high,2,offshore_region,C50))+IF(D50=2050,SUMIFS(storage_capacity_2040,onshore_or_offshore,"Offshore storage",operational_category_high,2,offshore_region,C50))+IF(D50=2050,SUMIFS(storage_capacity_2050,onshore_or_offshore,"Offshore storage",operational_category_high,3,offshore_region,C50))</f>
        <v>15</v>
      </c>
      <c r="H50" s="25" t="s">
        <v>27</v>
      </c>
    </row>
    <row r="51" spans="1:8">
      <c r="A51">
        <f>VLOOKUP($C51,offshore_nodes!$A$2:$C$20,3,FALSE)</f>
        <v>1</v>
      </c>
      <c r="B51" t="str">
        <f>VLOOKUP(C51,Table2[[OFF3]:[PECD]],2,FALSE)</f>
        <v>UK</v>
      </c>
      <c r="C51" s="22" t="s">
        <v>45</v>
      </c>
      <c r="D51" s="25">
        <v>2050</v>
      </c>
      <c r="E51" s="25">
        <f>SUMIFS(storage_capacity_2030,onshore_or_offshore,"Offshore storage",operational_category_low,1,offshore_region,C51)+IF(D51=2040,SUMIFS(storage_capacity_2040,onshore_or_offshore,"Offshore storage",operational_category_low,2,offshore_region,C51))+IF(D51=2050,SUMIFS(storage_capacity_2040,onshore_or_offshore,"Offshore storage",operational_category_low,2,offshore_region,C51))+IF(D51=2050,SUMIFS(storage_capacity_2050,onshore_or_offshore,"Offshore storage",operational_category_low,3,offshore_region,C51))</f>
        <v>0</v>
      </c>
      <c r="F51" s="25">
        <f>SUMIFS(storage_capacity_2030,onshore_or_offshore,"Offshore storage",operational_category_medium,1,offshore_region,C51)+IF(D51=2040,SUMIFS(storage_capacity_2040,onshore_or_offshore,"Offshore storage",operational_category_medium,2,offshore_region,C51))+IF(D51=2050,SUMIFS(storage_capacity_2040,onshore_or_offshore,"Offshore storage",operational_category_medium,2,offshore_region,C51))+IF(D51=2050,SUMIFS(storage_capacity_2050,onshore_or_offshore,"Offshore storage",operational_category_medium,3,offshore_region,C51))</f>
        <v>10</v>
      </c>
      <c r="G51" s="25">
        <f>SUMIFS(storage_capacity_2030,onshore_or_offshore,"Offshore storage",operational_category_high,1,offshore_region,C51)+IF(D51=2040,SUMIFS(storage_capacity_2040,onshore_or_offshore,"Offshore storage",operational_category_high,2,offshore_region,C51))+IF(D51=2050,SUMIFS(storage_capacity_2040,onshore_or_offshore,"Offshore storage",operational_category_high,2,offshore_region,C51))+IF(D51=2050,SUMIFS(storage_capacity_2050,onshore_or_offshore,"Offshore storage",operational_category_high,3,offshore_region,C51))</f>
        <v>10</v>
      </c>
      <c r="H51" s="25" t="s">
        <v>27</v>
      </c>
    </row>
    <row r="52" spans="1:8">
      <c r="A52">
        <f>VLOOKUP($C52,offshore_nodes!$A$2:$C$20,3,FALSE)</f>
        <v>2</v>
      </c>
      <c r="B52" t="str">
        <f>VLOOKUP(C52,Table2[[OFF3]:[PECD]],2,FALSE)</f>
        <v>UK</v>
      </c>
      <c r="C52" s="22" t="s">
        <v>46</v>
      </c>
      <c r="D52" s="25">
        <v>2050</v>
      </c>
      <c r="E52" s="25">
        <f>SUMIFS(storage_capacity_2030,onshore_or_offshore,"Offshore storage",operational_category_low,1,offshore_region,C52)+IF(D52=2040,SUMIFS(storage_capacity_2040,onshore_or_offshore,"Offshore storage",operational_category_low,2,offshore_region,C52))+IF(D52=2050,SUMIFS(storage_capacity_2040,onshore_or_offshore,"Offshore storage",operational_category_low,2,offshore_region,C52))+IF(D52=2050,SUMIFS(storage_capacity_2050,onshore_or_offshore,"Offshore storage",operational_category_low,3,offshore_region,C52))</f>
        <v>10</v>
      </c>
      <c r="F52" s="25">
        <f>SUMIFS(storage_capacity_2030,onshore_or_offshore,"Offshore storage",operational_category_medium,1,offshore_region,C52)+IF(D52=2040,SUMIFS(storage_capacity_2040,onshore_or_offshore,"Offshore storage",operational_category_medium,2,offshore_region,C52))+IF(D52=2050,SUMIFS(storage_capacity_2040,onshore_or_offshore,"Offshore storage",operational_category_medium,2,offshore_region,C52))+IF(D52=2050,SUMIFS(storage_capacity_2050,onshore_or_offshore,"Offshore storage",operational_category_medium,3,offshore_region,C52))</f>
        <v>10</v>
      </c>
      <c r="G52" s="25">
        <f>SUMIFS(storage_capacity_2030,onshore_or_offshore,"Offshore storage",operational_category_high,1,offshore_region,C52)+IF(D52=2040,SUMIFS(storage_capacity_2040,onshore_or_offshore,"Offshore storage",operational_category_high,2,offshore_region,C52))+IF(D52=2050,SUMIFS(storage_capacity_2040,onshore_or_offshore,"Offshore storage",operational_category_high,2,offshore_region,C52))+IF(D52=2050,SUMIFS(storage_capacity_2050,onshore_or_offshore,"Offshore storage",operational_category_high,3,offshore_region,C52))</f>
        <v>10</v>
      </c>
      <c r="H52" s="25" t="s">
        <v>27</v>
      </c>
    </row>
    <row r="53" spans="1:8">
      <c r="A53">
        <f>VLOOKUP($C53,offshore_nodes!$A$2:$C$20,3,FALSE)</f>
        <v>3</v>
      </c>
      <c r="B53" t="str">
        <f>VLOOKUP(C53,Table2[[OFF3]:[PECD]],2,FALSE)</f>
        <v>UK</v>
      </c>
      <c r="C53" s="22" t="s">
        <v>47</v>
      </c>
      <c r="D53" s="25">
        <v>2050</v>
      </c>
      <c r="E53" s="25">
        <f>SUMIFS(storage_capacity_2030,onshore_or_offshore,"Offshore storage",operational_category_low,1,offshore_region,C53)+IF(D53=2040,SUMIFS(storage_capacity_2040,onshore_or_offshore,"Offshore storage",operational_category_low,2,offshore_region,C53))+IF(D53=2050,SUMIFS(storage_capacity_2040,onshore_or_offshore,"Offshore storage",operational_category_low,2,offshore_region,C53))+IF(D53=2050,SUMIFS(storage_capacity_2050,onshore_or_offshore,"Offshore storage",operational_category_low,3,offshore_region,C53))</f>
        <v>0</v>
      </c>
      <c r="F53" s="25">
        <f>SUMIFS(storage_capacity_2030,onshore_or_offshore,"Offshore storage",operational_category_medium,1,offshore_region,C53)+IF(D53=2040,SUMIFS(storage_capacity_2040,onshore_or_offshore,"Offshore storage",operational_category_medium,2,offshore_region,C53))+IF(D53=2050,SUMIFS(storage_capacity_2040,onshore_or_offshore,"Offshore storage",operational_category_medium,2,offshore_region,C53))+IF(D53=2050,SUMIFS(storage_capacity_2050,onshore_or_offshore,"Offshore storage",operational_category_medium,3,offshore_region,C53))</f>
        <v>0</v>
      </c>
      <c r="G53" s="25">
        <f>SUMIFS(storage_capacity_2030,onshore_or_offshore,"Offshore storage",operational_category_high,1,offshore_region,C53)+IF(D53=2040,SUMIFS(storage_capacity_2040,onshore_or_offshore,"Offshore storage",operational_category_high,2,offshore_region,C53))+IF(D53=2050,SUMIFS(storage_capacity_2040,onshore_or_offshore,"Offshore storage",operational_category_high,2,offshore_region,C53))+IF(D53=2050,SUMIFS(storage_capacity_2050,onshore_or_offshore,"Offshore storage",operational_category_high,3,offshore_region,C53))</f>
        <v>25</v>
      </c>
      <c r="H53" s="25" t="s">
        <v>27</v>
      </c>
    </row>
    <row r="54" spans="1:8">
      <c r="A54">
        <f>VLOOKUP($C54,offshore_nodes!$A$2:$C$20,3,FALSE)</f>
        <v>4</v>
      </c>
      <c r="B54" t="str">
        <f>VLOOKUP(C54,Table2[[OFF3]:[PECD]],2,FALSE)</f>
        <v>UK</v>
      </c>
      <c r="C54" s="22" t="s">
        <v>48</v>
      </c>
      <c r="D54" s="25">
        <v>2050</v>
      </c>
      <c r="E54" s="25">
        <f>SUMIFS(storage_capacity_2030,onshore_or_offshore,"Offshore storage",operational_category_low,1,offshore_region,C54)+IF(D54=2040,SUMIFS(storage_capacity_2040,onshore_or_offshore,"Offshore storage",operational_category_low,2,offshore_region,C54))+IF(D54=2050,SUMIFS(storage_capacity_2040,onshore_or_offshore,"Offshore storage",operational_category_low,2,offshore_region,C54))+IF(D54=2050,SUMIFS(storage_capacity_2050,onshore_or_offshore,"Offshore storage",operational_category_low,3,offshore_region,C54))</f>
        <v>10</v>
      </c>
      <c r="F54" s="25">
        <f>SUMIFS(storage_capacity_2030,onshore_or_offshore,"Offshore storage",operational_category_medium,1,offshore_region,C54)+IF(D54=2040,SUMIFS(storage_capacity_2040,onshore_or_offshore,"Offshore storage",operational_category_medium,2,offshore_region,C54))+IF(D54=2050,SUMIFS(storage_capacity_2040,onshore_or_offshore,"Offshore storage",operational_category_medium,2,offshore_region,C54))+IF(D54=2050,SUMIFS(storage_capacity_2050,onshore_or_offshore,"Offshore storage",operational_category_medium,3,offshore_region,C54))</f>
        <v>10</v>
      </c>
      <c r="G54" s="25">
        <f>SUMIFS(storage_capacity_2030,onshore_or_offshore,"Offshore storage",operational_category_high,1,offshore_region,C54)+IF(D54=2040,SUMIFS(storage_capacity_2040,onshore_or_offshore,"Offshore storage",operational_category_high,2,offshore_region,C54))+IF(D54=2050,SUMIFS(storage_capacity_2040,onshore_or_offshore,"Offshore storage",operational_category_high,2,offshore_region,C54))+IF(D54=2050,SUMIFS(storage_capacity_2050,onshore_or_offshore,"Offshore storage",operational_category_high,3,offshore_region,C54))</f>
        <v>20</v>
      </c>
      <c r="H54" s="25" t="s">
        <v>27</v>
      </c>
    </row>
    <row r="55" spans="1:8">
      <c r="A55">
        <f>VLOOKUP($C55,offshore_nodes!$A$2:$C$20,3,FALSE)</f>
        <v>5</v>
      </c>
      <c r="B55" t="str">
        <f>VLOOKUP(C55,Table2[[OFF3]:[PECD]],2,FALSE)</f>
        <v>UK</v>
      </c>
      <c r="C55" s="22" t="s">
        <v>49</v>
      </c>
      <c r="D55" s="25">
        <v>2050</v>
      </c>
      <c r="E55" s="25">
        <f>SUMIFS(storage_capacity_2030,onshore_or_offshore,"Offshore storage",operational_category_low,1,offshore_region,C55)+IF(D55=2040,SUMIFS(storage_capacity_2040,onshore_or_offshore,"Offshore storage",operational_category_low,2,offshore_region,C55))+IF(D55=2050,SUMIFS(storage_capacity_2040,onshore_or_offshore,"Offshore storage",operational_category_low,2,offshore_region,C55))+IF(D55=2050,SUMIFS(storage_capacity_2050,onshore_or_offshore,"Offshore storage",operational_category_low,3,offshore_region,C55))</f>
        <v>1.5</v>
      </c>
      <c r="F55" s="25">
        <f>SUMIFS(storage_capacity_2030,onshore_or_offshore,"Offshore storage",operational_category_medium,1,offshore_region,C55)+IF(D55=2040,SUMIFS(storage_capacity_2040,onshore_or_offshore,"Offshore storage",operational_category_medium,2,offshore_region,C55))+IF(D55=2050,SUMIFS(storage_capacity_2040,onshore_or_offshore,"Offshore storage",operational_category_medium,2,offshore_region,C55))+IF(D55=2050,SUMIFS(storage_capacity_2050,onshore_or_offshore,"Offshore storage",operational_category_medium,3,offshore_region,C55))</f>
        <v>40</v>
      </c>
      <c r="G55" s="25">
        <f>SUMIFS(storage_capacity_2030,onshore_or_offshore,"Offshore storage",operational_category_high,1,offshore_region,C55)+IF(D55=2040,SUMIFS(storage_capacity_2040,onshore_or_offshore,"Offshore storage",operational_category_high,2,offshore_region,C55))+IF(D55=2050,SUMIFS(storage_capacity_2040,onshore_or_offshore,"Offshore storage",operational_category_high,2,offshore_region,C55))+IF(D55=2050,SUMIFS(storage_capacity_2050,onshore_or_offshore,"Offshore storage",operational_category_high,3,offshore_region,C55))</f>
        <v>40</v>
      </c>
      <c r="H55" s="25" t="s">
        <v>27</v>
      </c>
    </row>
    <row r="56" spans="1:8">
      <c r="A56">
        <f>VLOOKUP($C56,offshore_nodes!$A$2:$C$20,3,FALSE)</f>
        <v>6</v>
      </c>
      <c r="B56" t="str">
        <f>VLOOKUP(C56,Table2[[OFF3]:[PECD]],2,FALSE)</f>
        <v>UK</v>
      </c>
      <c r="C56" s="22" t="s">
        <v>50</v>
      </c>
      <c r="D56" s="25">
        <v>2050</v>
      </c>
      <c r="E56" s="25">
        <f>SUMIFS(storage_capacity_2030,onshore_or_offshore,"Offshore storage",operational_category_low,1,offshore_region,C56)+IF(D56=2040,SUMIFS(storage_capacity_2040,onshore_or_offshore,"Offshore storage",operational_category_low,2,offshore_region,C56))+IF(D56=2050,SUMIFS(storage_capacity_2040,onshore_or_offshore,"Offshore storage",operational_category_low,2,offshore_region,C56))+IF(D56=2050,SUMIFS(storage_capacity_2050,onshore_or_offshore,"Offshore storage",operational_category_low,3,offshore_region,C56))</f>
        <v>1</v>
      </c>
      <c r="F56" s="25">
        <f>SUMIFS(storage_capacity_2030,onshore_or_offshore,"Offshore storage",operational_category_medium,1,offshore_region,C56)+IF(D56=2040,SUMIFS(storage_capacity_2040,onshore_or_offshore,"Offshore storage",operational_category_medium,2,offshore_region,C56))+IF(D56=2050,SUMIFS(storage_capacity_2040,onshore_or_offshore,"Offshore storage",operational_category_medium,2,offshore_region,C56))+IF(D56=2050,SUMIFS(storage_capacity_2050,onshore_or_offshore,"Offshore storage",operational_category_medium,3,offshore_region,C56))</f>
        <v>1</v>
      </c>
      <c r="G56" s="25">
        <f>SUMIFS(storage_capacity_2030,onshore_or_offshore,"Offshore storage",operational_category_high,1,offshore_region,C56)+IF(D56=2040,SUMIFS(storage_capacity_2040,onshore_or_offshore,"Offshore storage",operational_category_high,2,offshore_region,C56))+IF(D56=2050,SUMIFS(storage_capacity_2040,onshore_or_offshore,"Offshore storage",operational_category_high,2,offshore_region,C56))+IF(D56=2050,SUMIFS(storage_capacity_2050,onshore_or_offshore,"Offshore storage",operational_category_high,3,offshore_region,C56))</f>
        <v>6</v>
      </c>
      <c r="H56" s="25" t="s">
        <v>27</v>
      </c>
    </row>
    <row r="57" spans="1:8">
      <c r="A57">
        <f>VLOOKUP($C57,offshore_nodes!$A$2:$C$20,3,FALSE)</f>
        <v>7</v>
      </c>
      <c r="B57" t="str">
        <f>VLOOKUP(C57,Table2[[OFF3]:[PECD]],2,FALSE)</f>
        <v>UK</v>
      </c>
      <c r="C57" s="22" t="s">
        <v>51</v>
      </c>
      <c r="D57" s="25">
        <v>2050</v>
      </c>
      <c r="E57" s="25">
        <f>SUMIFS(storage_capacity_2030,onshore_or_offshore,"Offshore storage",operational_category_low,1,offshore_region,C57)+IF(D57=2040,SUMIFS(storage_capacity_2040,onshore_or_offshore,"Offshore storage",operational_category_low,2,offshore_region,C57))+IF(D57=2050,SUMIFS(storage_capacity_2040,onshore_or_offshore,"Offshore storage",operational_category_low,2,offshore_region,C57))+IF(D57=2050,SUMIFS(storage_capacity_2050,onshore_or_offshore,"Offshore storage",operational_category_low,3,offshore_region,C57))</f>
        <v>25</v>
      </c>
      <c r="F57" s="25">
        <f>SUMIFS(storage_capacity_2030,onshore_or_offshore,"Offshore storage",operational_category_medium,1,offshore_region,C57)+IF(D57=2040,SUMIFS(storage_capacity_2040,onshore_or_offshore,"Offshore storage",operational_category_medium,2,offshore_region,C57))+IF(D57=2050,SUMIFS(storage_capacity_2040,onshore_or_offshore,"Offshore storage",operational_category_medium,2,offshore_region,C57))+IF(D57=2050,SUMIFS(storage_capacity_2050,onshore_or_offshore,"Offshore storage",operational_category_medium,3,offshore_region,C57))</f>
        <v>33</v>
      </c>
      <c r="G57" s="25">
        <f>SUMIFS(storage_capacity_2030,onshore_or_offshore,"Offshore storage",operational_category_high,1,offshore_region,C57)+IF(D57=2040,SUMIFS(storage_capacity_2040,onshore_or_offshore,"Offshore storage",operational_category_high,2,offshore_region,C57))+IF(D57=2050,SUMIFS(storage_capacity_2040,onshore_or_offshore,"Offshore storage",operational_category_high,2,offshore_region,C57))+IF(D57=2050,SUMIFS(storage_capacity_2050,onshore_or_offshore,"Offshore storage",operational_category_high,3,offshore_region,C57))</f>
        <v>33</v>
      </c>
      <c r="H57" s="25" t="s">
        <v>27</v>
      </c>
    </row>
    <row r="58" spans="1:8">
      <c r="A58">
        <f>VLOOKUP($C58,offshore_nodes!$A$2:$C$20,3,FALSE)</f>
        <v>8</v>
      </c>
      <c r="B58" t="str">
        <f>VLOOKUP(C58,Table2[[OFF3]:[PECD]],2,FALSE)</f>
        <v>UK</v>
      </c>
      <c r="C58" s="22" t="s">
        <v>52</v>
      </c>
      <c r="D58" s="25">
        <v>2050</v>
      </c>
      <c r="E58" s="25">
        <f>SUMIFS(storage_capacity_2030,onshore_or_offshore,"Offshore storage",operational_category_low,1,offshore_region,C58)+IF(D58=2040,SUMIFS(storage_capacity_2040,onshore_or_offshore,"Offshore storage",operational_category_low,2,offshore_region,C58))+IF(D58=2050,SUMIFS(storage_capacity_2040,onshore_or_offshore,"Offshore storage",operational_category_low,2,offshore_region,C58))+IF(D58=2050,SUMIFS(storage_capacity_2050,onshore_or_offshore,"Offshore storage",operational_category_low,3,offshore_region,C58))</f>
        <v>5</v>
      </c>
      <c r="F58" s="25">
        <f>SUMIFS(storage_capacity_2030,onshore_or_offshore,"Offshore storage",operational_category_medium,1,offshore_region,C58)+IF(D58=2040,SUMIFS(storage_capacity_2040,onshore_or_offshore,"Offshore storage",operational_category_medium,2,offshore_region,C58))+IF(D58=2050,SUMIFS(storage_capacity_2040,onshore_or_offshore,"Offshore storage",operational_category_medium,2,offshore_region,C58))+IF(D58=2050,SUMIFS(storage_capacity_2050,onshore_or_offshore,"Offshore storage",operational_category_medium,3,offshore_region,C58))</f>
        <v>20</v>
      </c>
      <c r="G58" s="25">
        <f>SUMIFS(storage_capacity_2030,onshore_or_offshore,"Offshore storage",operational_category_high,1,offshore_region,C58)+IF(D58=2040,SUMIFS(storage_capacity_2040,onshore_or_offshore,"Offshore storage",operational_category_high,2,offshore_region,C58))+IF(D58=2050,SUMIFS(storage_capacity_2040,onshore_or_offshore,"Offshore storage",operational_category_high,2,offshore_region,C58))+IF(D58=2050,SUMIFS(storage_capacity_2050,onshore_or_offshore,"Offshore storage",operational_category_high,3,offshore_region,C58))</f>
        <v>20</v>
      </c>
      <c r="H58" s="25" t="s">
        <v>27</v>
      </c>
    </row>
  </sheetData>
  <autoFilter ref="A1:H58" xr:uid="{B1D1DD99-A4A8-4579-89CC-45A182740122}">
    <sortState xmlns:xlrd2="http://schemas.microsoft.com/office/spreadsheetml/2017/richdata2" ref="A2:H58">
      <sortCondition ref="D1:D58"/>
    </sortState>
  </autoFilter>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A7BD-7934-4DB3-8EFB-EB3AD123329D}">
  <dimension ref="A1:Z55"/>
  <sheetViews>
    <sheetView topLeftCell="A7" zoomScale="70" zoomScaleNormal="70" workbookViewId="0">
      <selection activeCell="D23" sqref="D23"/>
    </sheetView>
  </sheetViews>
  <sheetFormatPr defaultRowHeight="15"/>
  <cols>
    <col min="1" max="1" width="24.85546875" customWidth="1"/>
    <col min="2" max="2" width="31.85546875" bestFit="1" customWidth="1"/>
    <col min="3" max="3" width="8.5703125" customWidth="1"/>
    <col min="4" max="4" width="9.5703125" bestFit="1" customWidth="1"/>
    <col min="5" max="5" width="9.85546875" customWidth="1"/>
    <col min="6" max="6" width="14.42578125" bestFit="1" customWidth="1"/>
    <col min="7" max="7" width="41.28515625" bestFit="1" customWidth="1"/>
    <col min="8" max="8" width="15.140625" bestFit="1" customWidth="1"/>
    <col min="9" max="9" width="32" customWidth="1"/>
    <col min="10" max="11" width="18.140625" customWidth="1"/>
    <col min="12" max="24" width="9.5703125" bestFit="1" customWidth="1"/>
    <col min="25" max="25" width="52.85546875" customWidth="1"/>
  </cols>
  <sheetData>
    <row r="1" spans="1:25">
      <c r="A1" s="3" t="s">
        <v>53</v>
      </c>
      <c r="B1" s="3" t="s">
        <v>54</v>
      </c>
    </row>
    <row r="2" spans="1:25">
      <c r="A2">
        <v>0</v>
      </c>
      <c r="B2" t="s">
        <v>55</v>
      </c>
    </row>
    <row r="3" spans="1:25">
      <c r="A3">
        <v>1</v>
      </c>
      <c r="B3" t="s">
        <v>56</v>
      </c>
    </row>
    <row r="4" spans="1:25">
      <c r="A4">
        <v>2</v>
      </c>
      <c r="B4" t="s">
        <v>57</v>
      </c>
    </row>
    <row r="5" spans="1:25">
      <c r="A5">
        <v>3</v>
      </c>
      <c r="B5" t="s">
        <v>58</v>
      </c>
    </row>
    <row r="7" spans="1:25">
      <c r="L7" t="s">
        <v>59</v>
      </c>
    </row>
    <row r="8" spans="1:25">
      <c r="A8" s="3" t="s">
        <v>22</v>
      </c>
      <c r="B8" s="3" t="s">
        <v>23</v>
      </c>
      <c r="C8" s="3" t="s">
        <v>24</v>
      </c>
      <c r="D8" s="3" t="s">
        <v>33</v>
      </c>
      <c r="E8" s="3" t="s">
        <v>60</v>
      </c>
      <c r="F8" s="3" t="s">
        <v>61</v>
      </c>
      <c r="G8" s="1" t="s">
        <v>1</v>
      </c>
      <c r="H8" s="1" t="s">
        <v>62</v>
      </c>
      <c r="I8" s="1" t="s">
        <v>63</v>
      </c>
      <c r="J8" s="1" t="s">
        <v>64</v>
      </c>
      <c r="K8" s="1" t="s">
        <v>65</v>
      </c>
      <c r="L8" s="1" t="s">
        <v>66</v>
      </c>
      <c r="M8" s="1" t="s">
        <v>67</v>
      </c>
      <c r="N8" s="1" t="s">
        <v>68</v>
      </c>
      <c r="O8" s="1" t="s">
        <v>69</v>
      </c>
      <c r="P8" s="1" t="s">
        <v>70</v>
      </c>
      <c r="Q8" s="1" t="s">
        <v>71</v>
      </c>
      <c r="R8" s="1" t="s">
        <v>72</v>
      </c>
      <c r="S8" s="1" t="s">
        <v>73</v>
      </c>
      <c r="T8" s="1" t="s">
        <v>74</v>
      </c>
      <c r="U8" s="1" t="s">
        <v>75</v>
      </c>
      <c r="V8" s="1" t="s">
        <v>76</v>
      </c>
      <c r="W8" s="1" t="s">
        <v>77</v>
      </c>
      <c r="X8" s="1" t="s">
        <v>78</v>
      </c>
      <c r="Y8" s="1" t="s">
        <v>79</v>
      </c>
    </row>
    <row r="9" spans="1:25">
      <c r="A9">
        <v>1</v>
      </c>
      <c r="B9">
        <f>A9</f>
        <v>1</v>
      </c>
      <c r="C9">
        <f>B9</f>
        <v>1</v>
      </c>
      <c r="D9" t="s">
        <v>41</v>
      </c>
      <c r="E9" t="s">
        <v>80</v>
      </c>
      <c r="F9" t="s">
        <v>81</v>
      </c>
      <c r="G9" s="2" t="s">
        <v>82</v>
      </c>
      <c r="H9" s="2" t="s">
        <v>83</v>
      </c>
      <c r="I9" s="2" t="s">
        <v>84</v>
      </c>
      <c r="J9" s="5">
        <v>3.9377</v>
      </c>
      <c r="K9" s="5">
        <v>52.125999999999998</v>
      </c>
      <c r="L9" s="2"/>
      <c r="M9" s="2"/>
      <c r="N9" s="2">
        <v>2.5</v>
      </c>
      <c r="O9" s="2">
        <v>2.5</v>
      </c>
      <c r="P9" s="2">
        <v>2.5</v>
      </c>
      <c r="Q9" s="2">
        <v>2.5</v>
      </c>
      <c r="R9" s="2">
        <v>2.5</v>
      </c>
      <c r="S9" s="2">
        <v>2.5</v>
      </c>
      <c r="T9" s="2">
        <v>2.5</v>
      </c>
      <c r="U9" s="2">
        <v>2.5</v>
      </c>
      <c r="V9" s="2">
        <v>2.5</v>
      </c>
      <c r="W9" s="2">
        <v>2.5</v>
      </c>
      <c r="X9" s="2">
        <f>W9</f>
        <v>2.5</v>
      </c>
      <c r="Y9" s="2" t="s">
        <v>85</v>
      </c>
    </row>
    <row r="10" spans="1:25">
      <c r="A10">
        <v>1</v>
      </c>
      <c r="B10">
        <f t="shared" ref="B10:C19" si="0">A10</f>
        <v>1</v>
      </c>
      <c r="C10">
        <f t="shared" si="0"/>
        <v>1</v>
      </c>
      <c r="D10" t="s">
        <v>35</v>
      </c>
      <c r="E10" t="s">
        <v>26</v>
      </c>
      <c r="F10" t="s">
        <v>81</v>
      </c>
      <c r="G10" s="2" t="s">
        <v>86</v>
      </c>
      <c r="H10" s="2" t="s">
        <v>87</v>
      </c>
      <c r="I10" s="2" t="s">
        <v>84</v>
      </c>
      <c r="J10" s="5">
        <v>5.3</v>
      </c>
      <c r="K10" s="5">
        <v>56.43</v>
      </c>
      <c r="L10" s="2">
        <v>0</v>
      </c>
      <c r="M10" s="2">
        <v>1.5</v>
      </c>
      <c r="N10" s="2">
        <v>1.5</v>
      </c>
      <c r="O10" s="2">
        <v>1.5</v>
      </c>
      <c r="P10" s="2">
        <v>5</v>
      </c>
      <c r="Q10" s="2">
        <v>8</v>
      </c>
      <c r="R10" s="2">
        <v>8</v>
      </c>
      <c r="S10" s="2">
        <v>8</v>
      </c>
      <c r="T10" s="2">
        <v>8</v>
      </c>
      <c r="U10" s="2">
        <v>8</v>
      </c>
      <c r="V10" s="2">
        <v>8</v>
      </c>
      <c r="W10" s="2">
        <v>8</v>
      </c>
      <c r="X10" s="2">
        <f t="shared" ref="X10:X54" si="1">W10</f>
        <v>8</v>
      </c>
      <c r="Y10" s="2" t="s">
        <v>88</v>
      </c>
    </row>
    <row r="11" spans="1:25">
      <c r="A11">
        <v>1</v>
      </c>
      <c r="B11">
        <f t="shared" si="0"/>
        <v>1</v>
      </c>
      <c r="C11">
        <f t="shared" si="0"/>
        <v>1</v>
      </c>
      <c r="D11" t="s">
        <v>35</v>
      </c>
      <c r="E11" t="s">
        <v>26</v>
      </c>
      <c r="F11" t="s">
        <v>81</v>
      </c>
      <c r="G11" s="2" t="s">
        <v>89</v>
      </c>
      <c r="H11" s="2" t="s">
        <v>87</v>
      </c>
      <c r="I11" s="2" t="s">
        <v>84</v>
      </c>
      <c r="J11" s="5">
        <v>4.5</v>
      </c>
      <c r="K11" s="5">
        <v>56.2</v>
      </c>
      <c r="L11" s="2">
        <v>0</v>
      </c>
      <c r="M11" s="2">
        <v>0</v>
      </c>
      <c r="N11" s="2">
        <v>0</v>
      </c>
      <c r="O11" s="2">
        <v>3</v>
      </c>
      <c r="P11" s="2">
        <v>3</v>
      </c>
      <c r="Q11" s="2">
        <v>3</v>
      </c>
      <c r="R11" s="2">
        <v>3</v>
      </c>
      <c r="S11" s="2">
        <v>3</v>
      </c>
      <c r="T11" s="2">
        <v>3</v>
      </c>
      <c r="U11" s="2">
        <v>3</v>
      </c>
      <c r="V11" s="2">
        <v>3</v>
      </c>
      <c r="W11" s="2">
        <v>3</v>
      </c>
      <c r="X11" s="2">
        <f t="shared" si="1"/>
        <v>3</v>
      </c>
      <c r="Y11" s="2" t="s">
        <v>90</v>
      </c>
    </row>
    <row r="12" spans="1:25">
      <c r="A12">
        <v>1</v>
      </c>
      <c r="B12">
        <f t="shared" si="0"/>
        <v>1</v>
      </c>
      <c r="C12">
        <f t="shared" si="0"/>
        <v>1</v>
      </c>
      <c r="D12" t="s">
        <v>46</v>
      </c>
      <c r="E12" t="s">
        <v>91</v>
      </c>
      <c r="F12" t="s">
        <v>81</v>
      </c>
      <c r="G12" s="2" t="s">
        <v>92</v>
      </c>
      <c r="H12" s="2" t="s">
        <v>93</v>
      </c>
      <c r="I12" s="2" t="s">
        <v>84</v>
      </c>
      <c r="J12" s="5">
        <v>-2.8433000000000002</v>
      </c>
      <c r="K12" s="5">
        <v>53.276899999999998</v>
      </c>
      <c r="L12" s="2"/>
      <c r="M12" s="2"/>
      <c r="N12" s="2">
        <v>4.5</v>
      </c>
      <c r="O12" s="2">
        <v>4.5</v>
      </c>
      <c r="P12" s="2">
        <v>4.5</v>
      </c>
      <c r="Q12" s="2">
        <v>10</v>
      </c>
      <c r="R12" s="2">
        <v>10</v>
      </c>
      <c r="S12" s="2">
        <v>10</v>
      </c>
      <c r="T12" s="2">
        <v>10</v>
      </c>
      <c r="U12" s="2">
        <v>10</v>
      </c>
      <c r="V12" s="2">
        <v>10</v>
      </c>
      <c r="W12" s="2">
        <v>10</v>
      </c>
      <c r="X12" s="2">
        <f t="shared" si="1"/>
        <v>10</v>
      </c>
      <c r="Y12" s="2"/>
    </row>
    <row r="13" spans="1:25">
      <c r="A13">
        <v>1</v>
      </c>
      <c r="B13">
        <f t="shared" si="0"/>
        <v>1</v>
      </c>
      <c r="C13">
        <f t="shared" si="0"/>
        <v>1</v>
      </c>
      <c r="D13" t="s">
        <v>43</v>
      </c>
      <c r="E13" t="s">
        <v>94</v>
      </c>
      <c r="F13" t="s">
        <v>81</v>
      </c>
      <c r="G13" s="2" t="s">
        <v>95</v>
      </c>
      <c r="H13" s="2" t="s">
        <v>96</v>
      </c>
      <c r="I13" s="2" t="s">
        <v>84</v>
      </c>
      <c r="J13" s="5">
        <v>3.6889006000000002</v>
      </c>
      <c r="K13" s="5">
        <v>60.568691899999997</v>
      </c>
      <c r="L13" s="2">
        <v>1.5</v>
      </c>
      <c r="M13" s="2">
        <v>1.5</v>
      </c>
      <c r="N13" s="2">
        <v>5.2</v>
      </c>
      <c r="O13" s="2">
        <v>5.2</v>
      </c>
      <c r="P13" s="2">
        <v>5.2</v>
      </c>
      <c r="Q13" s="2">
        <v>5.2</v>
      </c>
      <c r="R13" s="2">
        <v>5.2</v>
      </c>
      <c r="S13" s="2">
        <v>5.2</v>
      </c>
      <c r="T13" s="2">
        <v>5.2</v>
      </c>
      <c r="U13" s="2">
        <v>5.2</v>
      </c>
      <c r="V13" s="2">
        <v>5.2</v>
      </c>
      <c r="W13" s="2">
        <v>5.2</v>
      </c>
      <c r="X13" s="2">
        <f t="shared" si="1"/>
        <v>5.2</v>
      </c>
      <c r="Y13" s="2" t="s">
        <v>97</v>
      </c>
    </row>
    <row r="14" spans="1:25">
      <c r="A14">
        <v>1</v>
      </c>
      <c r="B14">
        <f t="shared" si="0"/>
        <v>1</v>
      </c>
      <c r="C14">
        <f t="shared" si="0"/>
        <v>1</v>
      </c>
      <c r="D14" t="s">
        <v>44</v>
      </c>
      <c r="E14" t="s">
        <v>94</v>
      </c>
      <c r="F14" t="s">
        <v>81</v>
      </c>
      <c r="G14" s="2" t="s">
        <v>98</v>
      </c>
      <c r="H14" s="2" t="s">
        <v>96</v>
      </c>
      <c r="I14" s="2" t="s">
        <v>84</v>
      </c>
      <c r="J14" s="5">
        <v>1.9</v>
      </c>
      <c r="K14" s="5">
        <v>58.37</v>
      </c>
      <c r="L14" s="2">
        <v>1</v>
      </c>
      <c r="M14" s="2">
        <v>1</v>
      </c>
      <c r="N14" s="2">
        <v>1</v>
      </c>
      <c r="O14" s="2">
        <v>1</v>
      </c>
      <c r="P14" s="2">
        <v>1</v>
      </c>
      <c r="Q14" s="2">
        <v>1</v>
      </c>
      <c r="R14" s="2">
        <v>1</v>
      </c>
      <c r="S14" s="2">
        <v>1</v>
      </c>
      <c r="T14" s="2">
        <v>1</v>
      </c>
      <c r="U14" s="2">
        <v>1</v>
      </c>
      <c r="V14" s="2">
        <v>1</v>
      </c>
      <c r="W14" s="2">
        <v>1</v>
      </c>
      <c r="X14" s="2">
        <f t="shared" si="1"/>
        <v>1</v>
      </c>
      <c r="Y14" s="2" t="s">
        <v>99</v>
      </c>
    </row>
    <row r="15" spans="1:25">
      <c r="A15">
        <v>1</v>
      </c>
      <c r="B15">
        <f t="shared" si="0"/>
        <v>1</v>
      </c>
      <c r="C15">
        <f t="shared" si="0"/>
        <v>1</v>
      </c>
      <c r="D15" t="s">
        <v>42</v>
      </c>
      <c r="E15" t="s">
        <v>94</v>
      </c>
      <c r="F15" t="s">
        <v>81</v>
      </c>
      <c r="G15" s="2" t="s">
        <v>100</v>
      </c>
      <c r="H15" s="2" t="s">
        <v>96</v>
      </c>
      <c r="I15" s="2" t="s">
        <v>84</v>
      </c>
      <c r="J15" s="5">
        <v>22.1</v>
      </c>
      <c r="K15" s="5">
        <v>71.599999999999994</v>
      </c>
      <c r="L15" s="2">
        <v>0.7</v>
      </c>
      <c r="M15" s="2">
        <v>0.7</v>
      </c>
      <c r="N15" s="2">
        <v>0.7</v>
      </c>
      <c r="O15" s="2">
        <v>0.7</v>
      </c>
      <c r="P15" s="2">
        <v>0.7</v>
      </c>
      <c r="Q15" s="2">
        <v>0.7</v>
      </c>
      <c r="R15" s="2">
        <v>0.7</v>
      </c>
      <c r="S15" s="2">
        <v>0.7</v>
      </c>
      <c r="T15" s="2">
        <v>0.7</v>
      </c>
      <c r="U15" s="2">
        <v>0.7</v>
      </c>
      <c r="V15" s="2">
        <v>0.7</v>
      </c>
      <c r="W15" s="2">
        <v>0.7</v>
      </c>
      <c r="X15" s="2">
        <f t="shared" si="1"/>
        <v>0.7</v>
      </c>
      <c r="Y15" s="2" t="s">
        <v>99</v>
      </c>
    </row>
    <row r="16" spans="1:25">
      <c r="A16">
        <v>1</v>
      </c>
      <c r="B16">
        <f t="shared" si="0"/>
        <v>1</v>
      </c>
      <c r="C16">
        <f t="shared" si="0"/>
        <v>1</v>
      </c>
      <c r="D16" t="s">
        <v>37</v>
      </c>
      <c r="E16" t="s">
        <v>101</v>
      </c>
      <c r="F16" t="s">
        <v>81</v>
      </c>
      <c r="G16" s="2" t="s">
        <v>102</v>
      </c>
      <c r="H16" s="2" t="s">
        <v>103</v>
      </c>
      <c r="I16" s="2" t="s">
        <v>84</v>
      </c>
      <c r="J16" s="6">
        <v>24.625</v>
      </c>
      <c r="K16" s="6">
        <v>40.966999999999999</v>
      </c>
      <c r="L16">
        <v>0</v>
      </c>
      <c r="M16">
        <v>0.1</v>
      </c>
      <c r="N16">
        <v>0.5</v>
      </c>
      <c r="O16">
        <v>2.5</v>
      </c>
      <c r="P16">
        <v>2.5</v>
      </c>
      <c r="Q16">
        <v>2.5</v>
      </c>
      <c r="R16">
        <v>2.5</v>
      </c>
      <c r="S16">
        <v>2.5</v>
      </c>
      <c r="T16">
        <v>2.5</v>
      </c>
      <c r="U16">
        <v>2.5</v>
      </c>
      <c r="V16">
        <v>2.5</v>
      </c>
      <c r="W16">
        <v>2.5</v>
      </c>
      <c r="X16" s="2">
        <f t="shared" si="1"/>
        <v>2.5</v>
      </c>
    </row>
    <row r="17" spans="1:26">
      <c r="A17">
        <v>1</v>
      </c>
      <c r="B17">
        <f t="shared" si="0"/>
        <v>1</v>
      </c>
      <c r="C17">
        <f t="shared" si="0"/>
        <v>1</v>
      </c>
      <c r="D17" t="s">
        <v>39</v>
      </c>
      <c r="E17" t="s">
        <v>104</v>
      </c>
      <c r="F17" t="s">
        <v>81</v>
      </c>
      <c r="G17" s="2" t="s">
        <v>105</v>
      </c>
      <c r="H17" s="2" t="s">
        <v>106</v>
      </c>
      <c r="I17" s="2" t="s">
        <v>84</v>
      </c>
      <c r="J17" s="6">
        <v>12.2867</v>
      </c>
      <c r="K17" s="6">
        <v>44.494900000000001</v>
      </c>
      <c r="O17">
        <v>4</v>
      </c>
      <c r="P17">
        <v>4</v>
      </c>
      <c r="Q17">
        <v>4</v>
      </c>
      <c r="R17">
        <v>4</v>
      </c>
      <c r="S17">
        <v>4</v>
      </c>
      <c r="T17">
        <v>4</v>
      </c>
      <c r="U17">
        <v>4</v>
      </c>
      <c r="V17">
        <v>4</v>
      </c>
      <c r="W17">
        <v>4</v>
      </c>
      <c r="X17" s="2">
        <f t="shared" si="1"/>
        <v>4</v>
      </c>
    </row>
    <row r="18" spans="1:26">
      <c r="A18">
        <v>2</v>
      </c>
      <c r="B18">
        <v>2</v>
      </c>
      <c r="C18">
        <f t="shared" si="0"/>
        <v>2</v>
      </c>
      <c r="D18" t="s">
        <v>40</v>
      </c>
      <c r="E18" t="s">
        <v>80</v>
      </c>
      <c r="F18" t="s">
        <v>81</v>
      </c>
      <c r="G18" s="2" t="s">
        <v>107</v>
      </c>
      <c r="H18" s="2" t="s">
        <v>83</v>
      </c>
      <c r="I18" s="2" t="s">
        <v>84</v>
      </c>
      <c r="J18" s="5">
        <v>4.09</v>
      </c>
      <c r="K18" s="5">
        <v>53.72</v>
      </c>
      <c r="L18" s="2"/>
      <c r="M18" s="2"/>
      <c r="N18" s="2"/>
      <c r="O18" s="2">
        <v>5</v>
      </c>
      <c r="P18" s="2">
        <v>5</v>
      </c>
      <c r="Q18" s="2">
        <v>5</v>
      </c>
      <c r="R18" s="2">
        <v>8</v>
      </c>
      <c r="S18" s="2">
        <v>8</v>
      </c>
      <c r="T18" s="2">
        <v>8</v>
      </c>
      <c r="U18" s="2">
        <v>8</v>
      </c>
      <c r="V18" s="2">
        <v>8</v>
      </c>
      <c r="W18" s="2">
        <v>8</v>
      </c>
      <c r="X18" s="2">
        <f t="shared" si="1"/>
        <v>8</v>
      </c>
      <c r="Y18" s="2" t="s">
        <v>90</v>
      </c>
    </row>
    <row r="19" spans="1:26">
      <c r="A19">
        <v>2</v>
      </c>
      <c r="B19">
        <v>2</v>
      </c>
      <c r="C19">
        <f t="shared" si="0"/>
        <v>2</v>
      </c>
      <c r="D19" t="s">
        <v>43</v>
      </c>
      <c r="E19" t="s">
        <v>94</v>
      </c>
      <c r="F19" t="s">
        <v>81</v>
      </c>
      <c r="G19" s="2" t="s">
        <v>108</v>
      </c>
      <c r="H19" s="2" t="s">
        <v>96</v>
      </c>
      <c r="I19" s="2" t="s">
        <v>84</v>
      </c>
      <c r="J19" s="5">
        <v>4.0779509999999997</v>
      </c>
      <c r="K19" s="5">
        <v>60.652963</v>
      </c>
      <c r="L19" s="2"/>
      <c r="M19" s="2"/>
      <c r="O19">
        <v>20</v>
      </c>
      <c r="P19">
        <v>20</v>
      </c>
      <c r="Q19">
        <v>20</v>
      </c>
      <c r="R19">
        <v>20</v>
      </c>
      <c r="S19">
        <v>20</v>
      </c>
      <c r="T19">
        <v>20</v>
      </c>
      <c r="U19">
        <v>20</v>
      </c>
      <c r="V19">
        <v>20</v>
      </c>
      <c r="W19">
        <v>20</v>
      </c>
      <c r="X19" s="2">
        <f t="shared" si="1"/>
        <v>20</v>
      </c>
      <c r="Y19" s="2" t="s">
        <v>90</v>
      </c>
    </row>
    <row r="20" spans="1:26">
      <c r="A20">
        <v>2</v>
      </c>
      <c r="B20">
        <v>1</v>
      </c>
      <c r="C20">
        <v>1</v>
      </c>
      <c r="D20" t="s">
        <v>52</v>
      </c>
      <c r="E20" t="s">
        <v>91</v>
      </c>
      <c r="F20" t="s">
        <v>81</v>
      </c>
      <c r="G20" s="2" t="s">
        <v>109</v>
      </c>
      <c r="H20" s="2" t="s">
        <v>93</v>
      </c>
      <c r="I20" s="2" t="s">
        <v>84</v>
      </c>
      <c r="J20" s="5">
        <v>1.3</v>
      </c>
      <c r="K20" s="5">
        <v>57.9</v>
      </c>
      <c r="L20" s="2"/>
      <c r="M20" s="2"/>
      <c r="N20" s="2">
        <v>1</v>
      </c>
      <c r="O20" s="2">
        <v>1</v>
      </c>
      <c r="P20" s="2">
        <v>1</v>
      </c>
      <c r="Q20" s="2">
        <v>5</v>
      </c>
      <c r="R20" s="2">
        <v>5</v>
      </c>
      <c r="S20" s="2">
        <v>5</v>
      </c>
      <c r="T20" s="2">
        <v>5</v>
      </c>
      <c r="U20" s="2">
        <v>5</v>
      </c>
      <c r="V20" s="2">
        <v>5</v>
      </c>
      <c r="W20" s="2">
        <v>5</v>
      </c>
      <c r="X20" s="2">
        <f t="shared" si="1"/>
        <v>5</v>
      </c>
      <c r="Y20" s="2" t="s">
        <v>110</v>
      </c>
    </row>
    <row r="21" spans="1:26">
      <c r="A21">
        <v>2</v>
      </c>
      <c r="B21">
        <v>1</v>
      </c>
      <c r="C21">
        <v>1</v>
      </c>
      <c r="D21" t="s">
        <v>51</v>
      </c>
      <c r="E21" t="s">
        <v>91</v>
      </c>
      <c r="F21" t="s">
        <v>81</v>
      </c>
      <c r="G21" s="2" t="s">
        <v>111</v>
      </c>
      <c r="H21" s="2" t="s">
        <v>93</v>
      </c>
      <c r="I21" s="2" t="s">
        <v>84</v>
      </c>
      <c r="J21" s="5">
        <v>2</v>
      </c>
      <c r="K21" s="5">
        <v>53.5</v>
      </c>
      <c r="L21" s="2"/>
      <c r="M21" s="2"/>
      <c r="N21" s="2">
        <v>3.6</v>
      </c>
      <c r="O21" s="2">
        <v>3.6</v>
      </c>
      <c r="P21" s="2">
        <v>3.6</v>
      </c>
      <c r="Q21" s="2">
        <v>10</v>
      </c>
      <c r="R21" s="2">
        <v>10</v>
      </c>
      <c r="S21" s="2">
        <v>10</v>
      </c>
      <c r="T21" s="2">
        <v>10</v>
      </c>
      <c r="U21" s="2">
        <v>10</v>
      </c>
      <c r="V21" s="2">
        <v>10</v>
      </c>
      <c r="W21" s="2">
        <v>10</v>
      </c>
      <c r="X21" s="2">
        <f t="shared" si="1"/>
        <v>10</v>
      </c>
      <c r="Y21" s="2" t="s">
        <v>112</v>
      </c>
    </row>
    <row r="22" spans="1:26">
      <c r="A22">
        <v>2</v>
      </c>
      <c r="B22">
        <v>2</v>
      </c>
      <c r="C22">
        <v>2</v>
      </c>
      <c r="D22" t="s">
        <v>48</v>
      </c>
      <c r="E22" t="s">
        <v>91</v>
      </c>
      <c r="F22" t="s">
        <v>81</v>
      </c>
      <c r="G22" s="2" t="s">
        <v>113</v>
      </c>
      <c r="H22" s="2" t="s">
        <v>93</v>
      </c>
      <c r="I22" s="2" t="s">
        <v>84</v>
      </c>
      <c r="J22" s="5">
        <v>1.478</v>
      </c>
      <c r="K22" s="5">
        <v>52.853000000000002</v>
      </c>
      <c r="L22" s="2"/>
      <c r="M22" s="2"/>
      <c r="N22" s="2">
        <v>10</v>
      </c>
      <c r="O22" s="2">
        <v>10</v>
      </c>
      <c r="P22" s="2">
        <v>10</v>
      </c>
      <c r="Q22" s="2">
        <v>10</v>
      </c>
      <c r="R22" s="2">
        <v>10</v>
      </c>
      <c r="S22" s="2">
        <v>10</v>
      </c>
      <c r="T22" s="2">
        <v>10</v>
      </c>
      <c r="U22" s="2">
        <v>10</v>
      </c>
      <c r="V22" s="2">
        <v>10</v>
      </c>
      <c r="W22" s="2">
        <v>10</v>
      </c>
      <c r="X22" s="2">
        <f t="shared" si="1"/>
        <v>10</v>
      </c>
      <c r="Y22" t="s">
        <v>114</v>
      </c>
    </row>
    <row r="23" spans="1:26">
      <c r="A23">
        <v>3</v>
      </c>
      <c r="B23">
        <v>2</v>
      </c>
      <c r="C23">
        <v>2</v>
      </c>
      <c r="D23" t="s">
        <v>49</v>
      </c>
      <c r="E23" t="s">
        <v>91</v>
      </c>
      <c r="F23" t="s">
        <v>81</v>
      </c>
      <c r="G23" s="2" t="s">
        <v>115</v>
      </c>
      <c r="H23" s="2" t="s">
        <v>93</v>
      </c>
      <c r="I23" s="2" t="s">
        <v>84</v>
      </c>
      <c r="J23" s="5">
        <v>2.17</v>
      </c>
      <c r="K23" s="5">
        <v>53.08</v>
      </c>
      <c r="L23" s="2"/>
      <c r="M23" s="2"/>
      <c r="O23" s="2"/>
      <c r="P23" s="2"/>
      <c r="Q23" s="2"/>
      <c r="R23" s="2">
        <v>1.5</v>
      </c>
      <c r="S23" s="2">
        <v>1.5</v>
      </c>
      <c r="T23" s="2">
        <v>1.5</v>
      </c>
      <c r="U23" s="2">
        <v>1.5</v>
      </c>
      <c r="V23" s="2">
        <v>1.5</v>
      </c>
      <c r="W23" s="2">
        <v>1.5</v>
      </c>
      <c r="X23" s="2">
        <f t="shared" si="1"/>
        <v>1.5</v>
      </c>
      <c r="Y23" t="s">
        <v>116</v>
      </c>
    </row>
    <row r="24" spans="1:26">
      <c r="A24">
        <v>2</v>
      </c>
      <c r="B24">
        <v>2</v>
      </c>
      <c r="C24">
        <v>2</v>
      </c>
      <c r="D24" t="s">
        <v>51</v>
      </c>
      <c r="E24" t="s">
        <v>91</v>
      </c>
      <c r="F24" t="s">
        <v>81</v>
      </c>
      <c r="G24" s="2" t="s">
        <v>117</v>
      </c>
      <c r="H24" s="2" t="s">
        <v>93</v>
      </c>
      <c r="I24" s="2" t="s">
        <v>84</v>
      </c>
      <c r="J24" s="5">
        <v>1</v>
      </c>
      <c r="K24" s="5">
        <v>54.5</v>
      </c>
      <c r="L24" s="2"/>
      <c r="M24" s="2">
        <v>5</v>
      </c>
      <c r="N24" s="2">
        <v>5</v>
      </c>
      <c r="O24" s="2">
        <v>5</v>
      </c>
      <c r="P24" s="2">
        <v>15</v>
      </c>
      <c r="Q24" s="2">
        <v>15</v>
      </c>
      <c r="R24" s="2">
        <v>15</v>
      </c>
      <c r="S24" s="2">
        <v>15</v>
      </c>
      <c r="T24" s="2">
        <v>15</v>
      </c>
      <c r="U24" s="2">
        <v>15</v>
      </c>
      <c r="V24" s="2">
        <v>15</v>
      </c>
      <c r="W24" s="2">
        <v>15</v>
      </c>
      <c r="X24" s="2">
        <f t="shared" si="1"/>
        <v>15</v>
      </c>
      <c r="Y24" t="s">
        <v>116</v>
      </c>
    </row>
    <row r="25" spans="1:26">
      <c r="A25">
        <v>3</v>
      </c>
      <c r="B25">
        <v>2</v>
      </c>
      <c r="C25">
        <v>2</v>
      </c>
      <c r="D25" t="s">
        <v>50</v>
      </c>
      <c r="E25" t="s">
        <v>91</v>
      </c>
      <c r="F25" t="s">
        <v>81</v>
      </c>
      <c r="G25" s="2" t="s">
        <v>118</v>
      </c>
      <c r="H25" s="2" t="s">
        <v>93</v>
      </c>
      <c r="I25" s="2" t="s">
        <v>84</v>
      </c>
      <c r="J25" s="5">
        <v>0.4</v>
      </c>
      <c r="K25" s="5">
        <v>53.9</v>
      </c>
      <c r="L25" s="2"/>
      <c r="M25" s="2"/>
      <c r="O25" s="2"/>
      <c r="P25" s="2"/>
      <c r="Q25" s="2"/>
      <c r="R25" s="2"/>
      <c r="S25" s="2">
        <v>1</v>
      </c>
      <c r="T25" s="2">
        <v>1</v>
      </c>
      <c r="U25" s="2">
        <v>1</v>
      </c>
      <c r="V25" s="2">
        <v>1</v>
      </c>
      <c r="W25" s="2">
        <v>1</v>
      </c>
      <c r="X25" s="2">
        <f t="shared" si="1"/>
        <v>1</v>
      </c>
      <c r="Y25" s="2"/>
    </row>
    <row r="26" spans="1:26">
      <c r="A26">
        <v>2</v>
      </c>
      <c r="B26">
        <v>2</v>
      </c>
      <c r="C26">
        <v>2</v>
      </c>
      <c r="D26" t="s">
        <v>44</v>
      </c>
      <c r="E26" t="s">
        <v>94</v>
      </c>
      <c r="F26" t="s">
        <v>81</v>
      </c>
      <c r="G26" s="2" t="s">
        <v>119</v>
      </c>
      <c r="H26" s="2" t="s">
        <v>96</v>
      </c>
      <c r="I26" s="2" t="s">
        <v>84</v>
      </c>
      <c r="J26" s="5">
        <v>4.9638140000000002</v>
      </c>
      <c r="K26" s="5">
        <v>57.716040999999997</v>
      </c>
      <c r="L26" s="2"/>
      <c r="M26" s="2"/>
      <c r="N26" s="2"/>
      <c r="O26" s="2"/>
      <c r="P26" s="2"/>
      <c r="Q26" s="2">
        <v>5</v>
      </c>
      <c r="R26" s="2">
        <v>5</v>
      </c>
      <c r="S26" s="2">
        <v>5</v>
      </c>
      <c r="T26" s="2">
        <v>5</v>
      </c>
      <c r="U26" s="2">
        <v>5</v>
      </c>
      <c r="V26" s="2">
        <v>5</v>
      </c>
      <c r="W26" s="2">
        <v>5</v>
      </c>
      <c r="X26" s="2">
        <f t="shared" si="1"/>
        <v>5</v>
      </c>
      <c r="Y26" s="2" t="s">
        <v>120</v>
      </c>
      <c r="Z26" s="7"/>
    </row>
    <row r="27" spans="1:26">
      <c r="A27">
        <v>2</v>
      </c>
      <c r="B27">
        <v>2</v>
      </c>
      <c r="C27">
        <v>2</v>
      </c>
      <c r="D27" t="s">
        <v>43</v>
      </c>
      <c r="E27" t="s">
        <v>94</v>
      </c>
      <c r="F27" t="s">
        <v>81</v>
      </c>
      <c r="G27" s="2" t="s">
        <v>121</v>
      </c>
      <c r="H27" s="2" t="s">
        <v>96</v>
      </c>
      <c r="I27" s="2" t="s">
        <v>84</v>
      </c>
      <c r="J27" s="5">
        <v>3.2</v>
      </c>
      <c r="K27" s="5">
        <v>61</v>
      </c>
      <c r="L27" s="2"/>
      <c r="M27" s="2"/>
      <c r="P27" s="2">
        <v>5</v>
      </c>
      <c r="Q27" s="2">
        <v>5</v>
      </c>
      <c r="R27" s="2">
        <v>5</v>
      </c>
      <c r="S27" s="2">
        <v>5</v>
      </c>
      <c r="T27" s="2">
        <v>5</v>
      </c>
      <c r="U27" s="2">
        <v>5</v>
      </c>
      <c r="V27" s="2">
        <v>5</v>
      </c>
      <c r="W27" s="2">
        <v>5</v>
      </c>
      <c r="X27" s="2">
        <f t="shared" si="1"/>
        <v>5</v>
      </c>
      <c r="Y27" s="2" t="s">
        <v>122</v>
      </c>
    </row>
    <row r="28" spans="1:26">
      <c r="A28">
        <v>2</v>
      </c>
      <c r="B28">
        <v>2</v>
      </c>
      <c r="C28">
        <v>2</v>
      </c>
      <c r="D28" t="s">
        <v>42</v>
      </c>
      <c r="E28" t="s">
        <v>94</v>
      </c>
      <c r="F28" t="s">
        <v>81</v>
      </c>
      <c r="G28" s="2" t="s">
        <v>123</v>
      </c>
      <c r="H28" s="2" t="s">
        <v>96</v>
      </c>
      <c r="I28" s="2" t="s">
        <v>84</v>
      </c>
      <c r="J28" s="5">
        <v>24.3</v>
      </c>
      <c r="K28" s="5">
        <v>71.2</v>
      </c>
      <c r="L28" s="2"/>
      <c r="M28" s="2"/>
      <c r="P28" s="2"/>
      <c r="Q28" s="2">
        <v>3</v>
      </c>
      <c r="R28" s="2">
        <v>3</v>
      </c>
      <c r="S28" s="2">
        <v>3</v>
      </c>
      <c r="T28" s="2">
        <v>3</v>
      </c>
      <c r="U28" s="2">
        <v>3</v>
      </c>
      <c r="V28" s="2">
        <v>3</v>
      </c>
      <c r="W28" s="2">
        <v>3</v>
      </c>
      <c r="X28" s="2">
        <f t="shared" si="1"/>
        <v>3</v>
      </c>
      <c r="Y28" s="2" t="s">
        <v>90</v>
      </c>
    </row>
    <row r="29" spans="1:26">
      <c r="A29">
        <v>3</v>
      </c>
      <c r="B29">
        <v>2</v>
      </c>
      <c r="C29">
        <v>2</v>
      </c>
      <c r="D29" t="s">
        <v>44</v>
      </c>
      <c r="E29" t="s">
        <v>94</v>
      </c>
      <c r="F29" t="s">
        <v>81</v>
      </c>
      <c r="G29" s="2" t="s">
        <v>124</v>
      </c>
      <c r="H29" s="2" t="s">
        <v>96</v>
      </c>
      <c r="I29" s="2" t="s">
        <v>84</v>
      </c>
      <c r="J29" s="5">
        <v>1.9</v>
      </c>
      <c r="K29" s="5">
        <v>58.2</v>
      </c>
      <c r="L29" s="2"/>
      <c r="M29" s="2"/>
      <c r="P29" s="2"/>
      <c r="Q29" s="2">
        <v>9</v>
      </c>
      <c r="R29" s="2">
        <v>9</v>
      </c>
      <c r="S29" s="2">
        <v>9</v>
      </c>
      <c r="T29" s="2">
        <v>9</v>
      </c>
      <c r="U29" s="2">
        <v>9</v>
      </c>
      <c r="V29" s="2">
        <v>9</v>
      </c>
      <c r="W29" s="2">
        <v>9</v>
      </c>
      <c r="X29" s="2">
        <f t="shared" si="1"/>
        <v>9</v>
      </c>
      <c r="Y29" s="2" t="s">
        <v>125</v>
      </c>
    </row>
    <row r="30" spans="1:26">
      <c r="A30">
        <v>3</v>
      </c>
      <c r="B30">
        <v>2</v>
      </c>
      <c r="C30">
        <v>2</v>
      </c>
      <c r="D30" t="s">
        <v>43</v>
      </c>
      <c r="E30" t="s">
        <v>94</v>
      </c>
      <c r="F30" t="s">
        <v>81</v>
      </c>
      <c r="G30" s="2" t="s">
        <v>126</v>
      </c>
      <c r="H30" s="2" t="s">
        <v>96</v>
      </c>
      <c r="I30" s="2" t="s">
        <v>84</v>
      </c>
      <c r="J30" s="5">
        <v>2.8</v>
      </c>
      <c r="K30" s="5">
        <v>59.7</v>
      </c>
      <c r="L30" s="2"/>
      <c r="M30" s="2"/>
      <c r="N30">
        <v>7</v>
      </c>
      <c r="O30">
        <v>7</v>
      </c>
      <c r="P30">
        <v>7</v>
      </c>
      <c r="Q30">
        <v>7</v>
      </c>
      <c r="R30">
        <v>7</v>
      </c>
      <c r="S30">
        <v>7</v>
      </c>
      <c r="T30">
        <v>7</v>
      </c>
      <c r="U30">
        <v>7</v>
      </c>
      <c r="V30">
        <v>7</v>
      </c>
      <c r="W30">
        <v>7</v>
      </c>
      <c r="X30" s="2">
        <f t="shared" si="1"/>
        <v>7</v>
      </c>
      <c r="Y30" s="2" t="s">
        <v>127</v>
      </c>
    </row>
    <row r="31" spans="1:26">
      <c r="A31">
        <v>3</v>
      </c>
      <c r="B31">
        <v>3</v>
      </c>
      <c r="C31">
        <v>2</v>
      </c>
      <c r="D31" t="s">
        <v>38</v>
      </c>
      <c r="E31" t="s">
        <v>128</v>
      </c>
      <c r="F31" t="s">
        <v>81</v>
      </c>
      <c r="G31" s="2" t="s">
        <v>129</v>
      </c>
      <c r="H31" s="2" t="s">
        <v>130</v>
      </c>
      <c r="I31" s="2" t="s">
        <v>84</v>
      </c>
      <c r="J31" s="6">
        <v>-8.2509999999999994</v>
      </c>
      <c r="K31" s="6">
        <v>51.8</v>
      </c>
      <c r="O31">
        <v>2.5</v>
      </c>
      <c r="P31">
        <v>2.5</v>
      </c>
      <c r="Q31">
        <v>2.5</v>
      </c>
      <c r="R31">
        <v>2.5</v>
      </c>
      <c r="S31">
        <v>2.5</v>
      </c>
      <c r="T31">
        <v>2.5</v>
      </c>
      <c r="U31">
        <v>2.5</v>
      </c>
      <c r="V31">
        <v>2.5</v>
      </c>
      <c r="W31">
        <v>2.5</v>
      </c>
      <c r="X31" s="2">
        <f t="shared" si="1"/>
        <v>2.5</v>
      </c>
    </row>
    <row r="32" spans="1:26" hidden="1">
      <c r="A32">
        <v>0</v>
      </c>
      <c r="B32">
        <v>3</v>
      </c>
      <c r="C32">
        <v>2</v>
      </c>
      <c r="D32" t="s">
        <v>131</v>
      </c>
      <c r="E32" t="s">
        <v>26</v>
      </c>
      <c r="F32" t="s">
        <v>81</v>
      </c>
      <c r="G32" t="s">
        <v>132</v>
      </c>
      <c r="H32" s="2" t="s">
        <v>87</v>
      </c>
      <c r="I32" s="2" t="s">
        <v>133</v>
      </c>
      <c r="J32" t="s">
        <v>131</v>
      </c>
      <c r="K32" t="s">
        <v>131</v>
      </c>
      <c r="L32">
        <v>0.5</v>
      </c>
      <c r="M32">
        <v>0.5</v>
      </c>
      <c r="N32">
        <v>0.5</v>
      </c>
      <c r="O32">
        <v>0.5</v>
      </c>
      <c r="P32">
        <v>0.5</v>
      </c>
      <c r="Q32">
        <v>0.5</v>
      </c>
      <c r="R32">
        <v>0.5</v>
      </c>
      <c r="S32">
        <v>0.5</v>
      </c>
      <c r="T32">
        <v>0.5</v>
      </c>
      <c r="U32">
        <v>0.5</v>
      </c>
      <c r="V32">
        <v>0.5</v>
      </c>
      <c r="W32">
        <v>0.5</v>
      </c>
      <c r="X32" s="2">
        <f t="shared" si="1"/>
        <v>0.5</v>
      </c>
    </row>
    <row r="33" spans="1:25" hidden="1">
      <c r="A33">
        <v>0</v>
      </c>
      <c r="B33">
        <v>3</v>
      </c>
      <c r="C33">
        <v>2</v>
      </c>
      <c r="D33" t="s">
        <v>131</v>
      </c>
      <c r="E33" t="s">
        <v>26</v>
      </c>
      <c r="F33" t="s">
        <v>81</v>
      </c>
      <c r="G33" t="s">
        <v>134</v>
      </c>
      <c r="H33" s="2" t="s">
        <v>87</v>
      </c>
      <c r="I33" s="2" t="s">
        <v>133</v>
      </c>
      <c r="J33" t="s">
        <v>131</v>
      </c>
      <c r="K33" t="s">
        <v>131</v>
      </c>
      <c r="N33">
        <v>1.1499999999999999</v>
      </c>
      <c r="O33">
        <v>1.1499999999999999</v>
      </c>
      <c r="P33">
        <v>1.1499999999999999</v>
      </c>
      <c r="Q33">
        <v>10</v>
      </c>
      <c r="R33">
        <v>10</v>
      </c>
      <c r="S33">
        <v>10</v>
      </c>
      <c r="T33">
        <v>10</v>
      </c>
      <c r="U33">
        <v>10</v>
      </c>
      <c r="V33">
        <v>10</v>
      </c>
      <c r="W33">
        <v>10</v>
      </c>
      <c r="X33" s="2">
        <f t="shared" si="1"/>
        <v>10</v>
      </c>
    </row>
    <row r="34" spans="1:25" hidden="1">
      <c r="A34">
        <v>0</v>
      </c>
      <c r="B34">
        <v>3</v>
      </c>
      <c r="C34">
        <v>2</v>
      </c>
      <c r="D34" t="s">
        <v>131</v>
      </c>
      <c r="E34" t="s">
        <v>26</v>
      </c>
      <c r="F34" t="s">
        <v>81</v>
      </c>
      <c r="G34" t="s">
        <v>135</v>
      </c>
      <c r="H34" s="2" t="s">
        <v>87</v>
      </c>
      <c r="I34" s="2" t="s">
        <v>133</v>
      </c>
      <c r="J34" t="s">
        <v>131</v>
      </c>
      <c r="K34" t="s">
        <v>131</v>
      </c>
      <c r="N34">
        <v>1.1499999999999999</v>
      </c>
      <c r="O34">
        <v>1.1499999999999999</v>
      </c>
      <c r="P34">
        <v>1.1499999999999999</v>
      </c>
      <c r="Q34">
        <v>8</v>
      </c>
      <c r="R34">
        <v>8</v>
      </c>
      <c r="S34">
        <v>8</v>
      </c>
      <c r="T34">
        <v>8</v>
      </c>
      <c r="U34">
        <v>8</v>
      </c>
      <c r="V34">
        <v>8</v>
      </c>
      <c r="W34">
        <v>8</v>
      </c>
      <c r="X34" s="2">
        <f t="shared" si="1"/>
        <v>8</v>
      </c>
    </row>
    <row r="35" spans="1:25" hidden="1">
      <c r="A35">
        <v>0</v>
      </c>
      <c r="B35">
        <v>3</v>
      </c>
      <c r="C35">
        <v>2</v>
      </c>
      <c r="D35" t="s">
        <v>131</v>
      </c>
      <c r="E35" t="s">
        <v>26</v>
      </c>
      <c r="F35" t="s">
        <v>81</v>
      </c>
      <c r="G35" t="s">
        <v>136</v>
      </c>
      <c r="H35" s="2" t="s">
        <v>87</v>
      </c>
      <c r="I35" s="2" t="s">
        <v>133</v>
      </c>
      <c r="J35" t="s">
        <v>131</v>
      </c>
      <c r="K35" t="s">
        <v>131</v>
      </c>
      <c r="N35">
        <v>1</v>
      </c>
      <c r="O35">
        <v>1</v>
      </c>
      <c r="P35">
        <v>1</v>
      </c>
      <c r="Q35">
        <v>7</v>
      </c>
      <c r="R35">
        <v>7</v>
      </c>
      <c r="S35">
        <v>7</v>
      </c>
      <c r="T35">
        <v>7</v>
      </c>
      <c r="U35">
        <v>7</v>
      </c>
      <c r="V35">
        <v>7</v>
      </c>
      <c r="W35">
        <v>7</v>
      </c>
      <c r="X35" s="2">
        <f t="shared" si="1"/>
        <v>7</v>
      </c>
    </row>
    <row r="36" spans="1:25" hidden="1">
      <c r="A36">
        <v>0</v>
      </c>
      <c r="B36">
        <v>3</v>
      </c>
      <c r="C36">
        <v>2</v>
      </c>
      <c r="D36" t="s">
        <v>131</v>
      </c>
      <c r="E36" t="s">
        <v>28</v>
      </c>
      <c r="F36" t="s">
        <v>81</v>
      </c>
      <c r="G36" t="s">
        <v>137</v>
      </c>
      <c r="H36" s="2" t="s">
        <v>138</v>
      </c>
      <c r="I36" s="2" t="s">
        <v>133</v>
      </c>
      <c r="J36" t="s">
        <v>131</v>
      </c>
      <c r="K36" t="s">
        <v>131</v>
      </c>
      <c r="R36">
        <v>2.5</v>
      </c>
      <c r="S36">
        <v>2.5</v>
      </c>
      <c r="T36">
        <v>2.5</v>
      </c>
      <c r="U36">
        <v>2.5</v>
      </c>
      <c r="V36">
        <v>2.5</v>
      </c>
      <c r="W36">
        <v>2.5</v>
      </c>
      <c r="X36" s="2">
        <f t="shared" si="1"/>
        <v>2.5</v>
      </c>
    </row>
    <row r="37" spans="1:25" hidden="1">
      <c r="A37">
        <v>0</v>
      </c>
      <c r="B37">
        <v>3</v>
      </c>
      <c r="C37">
        <v>2</v>
      </c>
      <c r="D37" t="s">
        <v>131</v>
      </c>
      <c r="E37" t="s">
        <v>31</v>
      </c>
      <c r="F37" t="s">
        <v>14</v>
      </c>
      <c r="G37" t="s">
        <v>139</v>
      </c>
      <c r="H37" s="4" t="s">
        <v>140</v>
      </c>
      <c r="I37" s="4" t="s">
        <v>133</v>
      </c>
      <c r="J37" s="4" t="s">
        <v>131</v>
      </c>
      <c r="K37" s="4" t="s">
        <v>131</v>
      </c>
      <c r="O37">
        <v>1.5</v>
      </c>
      <c r="P37">
        <v>1.5</v>
      </c>
      <c r="Q37">
        <v>1.5</v>
      </c>
      <c r="R37">
        <v>1.5</v>
      </c>
      <c r="S37">
        <v>1.5</v>
      </c>
      <c r="T37">
        <v>1.5</v>
      </c>
      <c r="U37">
        <v>1.5</v>
      </c>
      <c r="V37">
        <v>1.5</v>
      </c>
      <c r="W37">
        <v>1.5</v>
      </c>
      <c r="X37" s="2">
        <f t="shared" si="1"/>
        <v>1.5</v>
      </c>
    </row>
    <row r="38" spans="1:25" hidden="1">
      <c r="A38">
        <v>0</v>
      </c>
      <c r="B38">
        <v>3</v>
      </c>
      <c r="C38">
        <v>2</v>
      </c>
      <c r="D38" t="s">
        <v>131</v>
      </c>
      <c r="E38" t="s">
        <v>30</v>
      </c>
      <c r="F38" t="s">
        <v>14</v>
      </c>
      <c r="G38" s="8" t="s">
        <v>141</v>
      </c>
      <c r="H38" s="4" t="s">
        <v>142</v>
      </c>
      <c r="I38" s="4" t="s">
        <v>133</v>
      </c>
      <c r="J38" s="4" t="s">
        <v>131</v>
      </c>
      <c r="K38" s="4" t="s">
        <v>131</v>
      </c>
      <c r="O38">
        <v>1.5</v>
      </c>
      <c r="P38">
        <v>1.5</v>
      </c>
      <c r="Q38">
        <v>1.5</v>
      </c>
      <c r="R38">
        <v>1.5</v>
      </c>
      <c r="S38">
        <v>1.5</v>
      </c>
      <c r="T38">
        <v>1.5</v>
      </c>
      <c r="U38">
        <v>1.5</v>
      </c>
      <c r="V38">
        <v>1.5</v>
      </c>
      <c r="W38">
        <v>1.5</v>
      </c>
      <c r="X38" s="2">
        <f t="shared" si="1"/>
        <v>1.5</v>
      </c>
    </row>
    <row r="39" spans="1:25" hidden="1">
      <c r="A39">
        <v>0</v>
      </c>
      <c r="B39">
        <v>3</v>
      </c>
      <c r="C39">
        <v>2</v>
      </c>
      <c r="D39" t="s">
        <v>131</v>
      </c>
      <c r="E39" t="s">
        <v>29</v>
      </c>
      <c r="F39" t="s">
        <v>14</v>
      </c>
      <c r="G39" t="s">
        <v>143</v>
      </c>
      <c r="H39" s="4" t="s">
        <v>144</v>
      </c>
      <c r="I39" s="4" t="s">
        <v>133</v>
      </c>
      <c r="J39" s="4" t="s">
        <v>131</v>
      </c>
      <c r="K39" s="4" t="s">
        <v>131</v>
      </c>
      <c r="P39">
        <v>0.6</v>
      </c>
      <c r="Q39">
        <v>0.6</v>
      </c>
      <c r="R39">
        <v>0.6</v>
      </c>
      <c r="S39">
        <v>0.6</v>
      </c>
      <c r="T39">
        <v>0.6</v>
      </c>
      <c r="U39">
        <v>0.6</v>
      </c>
      <c r="V39">
        <v>0.6</v>
      </c>
      <c r="W39">
        <v>0.6</v>
      </c>
      <c r="X39" s="2">
        <f t="shared" si="1"/>
        <v>0.6</v>
      </c>
    </row>
    <row r="40" spans="1:25">
      <c r="A40">
        <v>0</v>
      </c>
      <c r="B40">
        <v>3</v>
      </c>
      <c r="C40">
        <v>2</v>
      </c>
      <c r="D40" t="s">
        <v>36</v>
      </c>
      <c r="E40" t="s">
        <v>145</v>
      </c>
      <c r="F40" t="s">
        <v>14</v>
      </c>
      <c r="G40" s="9" t="s">
        <v>146</v>
      </c>
      <c r="H40" s="4" t="s">
        <v>147</v>
      </c>
      <c r="I40" s="4" t="s">
        <v>84</v>
      </c>
      <c r="J40" s="10">
        <v>1.27</v>
      </c>
      <c r="K40" s="10">
        <v>40.6</v>
      </c>
      <c r="N40" s="3"/>
      <c r="Q40" s="1"/>
      <c r="R40" s="1"/>
      <c r="S40" s="1"/>
      <c r="T40" s="1"/>
      <c r="U40" s="1"/>
      <c r="V40" s="1"/>
      <c r="W40">
        <v>2</v>
      </c>
      <c r="X40" s="2">
        <f t="shared" si="1"/>
        <v>2</v>
      </c>
      <c r="Y40" t="s">
        <v>148</v>
      </c>
    </row>
    <row r="41" spans="1:25">
      <c r="A41">
        <v>0</v>
      </c>
      <c r="B41">
        <v>2</v>
      </c>
      <c r="C41">
        <v>2</v>
      </c>
      <c r="D41" t="s">
        <v>40</v>
      </c>
      <c r="E41" t="s">
        <v>80</v>
      </c>
      <c r="F41" t="s">
        <v>14</v>
      </c>
      <c r="G41" s="2" t="s">
        <v>149</v>
      </c>
      <c r="H41" s="4" t="s">
        <v>83</v>
      </c>
      <c r="I41" s="4" t="s">
        <v>84</v>
      </c>
      <c r="J41" s="10">
        <v>4.2019440000000001</v>
      </c>
      <c r="K41">
        <v>53.403888999999999</v>
      </c>
      <c r="W41">
        <v>5</v>
      </c>
      <c r="X41" s="2">
        <f t="shared" si="1"/>
        <v>5</v>
      </c>
      <c r="Y41" t="s">
        <v>148</v>
      </c>
    </row>
    <row r="42" spans="1:25">
      <c r="A42">
        <v>0</v>
      </c>
      <c r="B42">
        <v>3</v>
      </c>
      <c r="C42">
        <v>2</v>
      </c>
      <c r="D42" t="s">
        <v>52</v>
      </c>
      <c r="E42" t="s">
        <v>91</v>
      </c>
      <c r="F42" t="s">
        <v>14</v>
      </c>
      <c r="G42" s="2" t="s">
        <v>150</v>
      </c>
      <c r="H42" s="2" t="s">
        <v>93</v>
      </c>
      <c r="I42" s="2" t="s">
        <v>84</v>
      </c>
      <c r="J42" s="5">
        <v>1.3</v>
      </c>
      <c r="K42" s="5">
        <v>57.9</v>
      </c>
      <c r="W42">
        <v>15</v>
      </c>
      <c r="X42" s="2">
        <f t="shared" si="1"/>
        <v>15</v>
      </c>
      <c r="Y42" t="s">
        <v>151</v>
      </c>
    </row>
    <row r="43" spans="1:25">
      <c r="A43">
        <v>0</v>
      </c>
      <c r="B43">
        <v>0</v>
      </c>
      <c r="C43">
        <v>2</v>
      </c>
      <c r="D43" t="s">
        <v>48</v>
      </c>
      <c r="E43" t="s">
        <v>91</v>
      </c>
      <c r="F43" t="s">
        <v>14</v>
      </c>
      <c r="G43" s="2" t="s">
        <v>152</v>
      </c>
      <c r="H43" s="2" t="s">
        <v>93</v>
      </c>
      <c r="I43" s="2" t="s">
        <v>84</v>
      </c>
      <c r="J43" s="5">
        <v>1.478</v>
      </c>
      <c r="K43" s="5">
        <v>52.853000000000002</v>
      </c>
      <c r="W43">
        <v>10</v>
      </c>
      <c r="X43" s="2">
        <f t="shared" si="1"/>
        <v>10</v>
      </c>
      <c r="Y43" t="s">
        <v>153</v>
      </c>
    </row>
    <row r="44" spans="1:25">
      <c r="A44">
        <v>0</v>
      </c>
      <c r="B44">
        <v>0</v>
      </c>
      <c r="C44">
        <v>2</v>
      </c>
      <c r="D44" t="s">
        <v>50</v>
      </c>
      <c r="E44" t="s">
        <v>91</v>
      </c>
      <c r="F44" t="s">
        <v>14</v>
      </c>
      <c r="G44" s="2" t="s">
        <v>154</v>
      </c>
      <c r="H44" s="2" t="s">
        <v>93</v>
      </c>
      <c r="I44" s="2" t="s">
        <v>84</v>
      </c>
      <c r="J44" s="5">
        <v>0.4</v>
      </c>
      <c r="K44" s="5">
        <v>53.9</v>
      </c>
      <c r="W44" s="2">
        <v>5</v>
      </c>
      <c r="X44" s="2">
        <f t="shared" si="1"/>
        <v>5</v>
      </c>
      <c r="Y44" t="s">
        <v>155</v>
      </c>
    </row>
    <row r="45" spans="1:25">
      <c r="A45">
        <v>0</v>
      </c>
      <c r="B45">
        <v>2</v>
      </c>
      <c r="C45">
        <v>2</v>
      </c>
      <c r="D45" t="s">
        <v>51</v>
      </c>
      <c r="E45" t="s">
        <v>91</v>
      </c>
      <c r="F45" t="s">
        <v>14</v>
      </c>
      <c r="G45" s="2" t="s">
        <v>156</v>
      </c>
      <c r="H45" s="2" t="s">
        <v>93</v>
      </c>
      <c r="I45" s="2" t="s">
        <v>84</v>
      </c>
      <c r="J45" s="5">
        <v>1</v>
      </c>
      <c r="K45" s="5">
        <v>54.5</v>
      </c>
      <c r="W45">
        <v>8</v>
      </c>
      <c r="X45" s="2">
        <f t="shared" si="1"/>
        <v>8</v>
      </c>
      <c r="Y45" t="s">
        <v>157</v>
      </c>
    </row>
    <row r="46" spans="1:25">
      <c r="A46">
        <v>0</v>
      </c>
      <c r="B46">
        <v>0</v>
      </c>
      <c r="C46">
        <v>2</v>
      </c>
      <c r="D46" t="s">
        <v>47</v>
      </c>
      <c r="E46" t="s">
        <v>91</v>
      </c>
      <c r="F46" t="s">
        <v>14</v>
      </c>
      <c r="G46" s="2" t="s">
        <v>158</v>
      </c>
      <c r="H46" s="2" t="s">
        <v>93</v>
      </c>
      <c r="I46" s="2" t="s">
        <v>84</v>
      </c>
      <c r="J46" s="11">
        <v>-3.2</v>
      </c>
      <c r="K46" s="11">
        <v>54.05</v>
      </c>
      <c r="W46">
        <v>25</v>
      </c>
      <c r="X46" s="2">
        <f t="shared" si="1"/>
        <v>25</v>
      </c>
      <c r="Y46" t="s">
        <v>159</v>
      </c>
    </row>
    <row r="47" spans="1:25">
      <c r="A47">
        <v>0</v>
      </c>
      <c r="B47">
        <v>2</v>
      </c>
      <c r="C47">
        <v>2</v>
      </c>
      <c r="D47" t="s">
        <v>49</v>
      </c>
      <c r="E47" t="s">
        <v>91</v>
      </c>
      <c r="F47" t="s">
        <v>14</v>
      </c>
      <c r="G47" s="2" t="s">
        <v>160</v>
      </c>
      <c r="H47" s="2" t="s">
        <v>93</v>
      </c>
      <c r="I47" s="2" t="s">
        <v>84</v>
      </c>
      <c r="J47" s="5">
        <v>2.17</v>
      </c>
      <c r="K47" s="5">
        <v>53.08</v>
      </c>
      <c r="W47">
        <f>40-1.5</f>
        <v>38.5</v>
      </c>
      <c r="X47" s="2">
        <f t="shared" si="1"/>
        <v>38.5</v>
      </c>
      <c r="Y47" t="s">
        <v>161</v>
      </c>
    </row>
    <row r="48" spans="1:25">
      <c r="A48">
        <v>0</v>
      </c>
      <c r="B48">
        <v>2</v>
      </c>
      <c r="C48">
        <v>2</v>
      </c>
      <c r="D48" t="s">
        <v>45</v>
      </c>
      <c r="E48" t="s">
        <v>91</v>
      </c>
      <c r="F48" t="s">
        <v>14</v>
      </c>
      <c r="G48" t="s">
        <v>162</v>
      </c>
      <c r="H48" s="2" t="s">
        <v>93</v>
      </c>
      <c r="I48" s="2" t="s">
        <v>84</v>
      </c>
      <c r="J48">
        <v>1.55</v>
      </c>
      <c r="K48">
        <v>61.38</v>
      </c>
      <c r="R48">
        <v>10</v>
      </c>
      <c r="S48">
        <v>10</v>
      </c>
      <c r="T48">
        <v>10</v>
      </c>
      <c r="U48">
        <v>10</v>
      </c>
      <c r="V48">
        <v>10</v>
      </c>
      <c r="W48">
        <v>10</v>
      </c>
      <c r="X48" s="2">
        <f t="shared" si="1"/>
        <v>10</v>
      </c>
      <c r="Y48" t="s">
        <v>163</v>
      </c>
    </row>
    <row r="49" spans="1:25">
      <c r="A49">
        <v>0</v>
      </c>
      <c r="B49">
        <v>3</v>
      </c>
      <c r="C49">
        <v>2</v>
      </c>
      <c r="D49" t="s">
        <v>43</v>
      </c>
      <c r="E49" t="s">
        <v>94</v>
      </c>
      <c r="F49" t="s">
        <v>14</v>
      </c>
      <c r="G49" s="2" t="s">
        <v>164</v>
      </c>
      <c r="H49" s="2" t="s">
        <v>96</v>
      </c>
      <c r="I49" s="2" t="s">
        <v>84</v>
      </c>
      <c r="J49">
        <v>3.12</v>
      </c>
      <c r="K49">
        <v>60.05</v>
      </c>
      <c r="Q49" s="2">
        <v>6</v>
      </c>
      <c r="R49" s="2">
        <v>6</v>
      </c>
      <c r="S49" s="2">
        <v>6</v>
      </c>
      <c r="T49" s="2">
        <v>6</v>
      </c>
      <c r="U49" s="2">
        <v>6</v>
      </c>
      <c r="V49" s="2">
        <v>6</v>
      </c>
      <c r="W49" s="2">
        <v>6</v>
      </c>
      <c r="X49" s="2">
        <f t="shared" si="1"/>
        <v>6</v>
      </c>
      <c r="Y49" t="s">
        <v>165</v>
      </c>
    </row>
    <row r="50" spans="1:25">
      <c r="A50">
        <v>0</v>
      </c>
      <c r="B50">
        <v>2</v>
      </c>
      <c r="C50">
        <v>2</v>
      </c>
      <c r="D50" t="s">
        <v>43</v>
      </c>
      <c r="E50" t="s">
        <v>94</v>
      </c>
      <c r="F50" t="s">
        <v>14</v>
      </c>
      <c r="G50" s="2" t="s">
        <v>166</v>
      </c>
      <c r="H50" s="2" t="s">
        <v>96</v>
      </c>
      <c r="I50" s="2" t="s">
        <v>84</v>
      </c>
      <c r="J50">
        <v>3.19</v>
      </c>
      <c r="K50">
        <v>59.75</v>
      </c>
      <c r="W50" s="2">
        <v>5</v>
      </c>
      <c r="X50" s="2">
        <f t="shared" si="1"/>
        <v>5</v>
      </c>
      <c r="Y50" t="s">
        <v>167</v>
      </c>
    </row>
    <row r="51" spans="1:25">
      <c r="A51">
        <v>0</v>
      </c>
      <c r="B51">
        <v>3</v>
      </c>
      <c r="C51">
        <v>2</v>
      </c>
      <c r="D51" t="s">
        <v>43</v>
      </c>
      <c r="E51" t="s">
        <v>94</v>
      </c>
      <c r="F51" t="s">
        <v>14</v>
      </c>
      <c r="G51" s="2" t="s">
        <v>168</v>
      </c>
      <c r="H51" s="2" t="s">
        <v>96</v>
      </c>
      <c r="I51" s="2" t="s">
        <v>84</v>
      </c>
      <c r="J51" s="5">
        <v>3.6889006000000002</v>
      </c>
      <c r="K51" s="5">
        <v>60.568691899999997</v>
      </c>
      <c r="Q51">
        <v>1.7999999999999998</v>
      </c>
      <c r="R51">
        <v>1.7999999999999998</v>
      </c>
      <c r="S51">
        <v>1.7999999999999998</v>
      </c>
      <c r="T51">
        <v>1.7999999999999998</v>
      </c>
      <c r="U51">
        <v>1.7999999999999998</v>
      </c>
      <c r="V51">
        <v>1.7999999999999998</v>
      </c>
      <c r="W51">
        <v>1.7999999999999998</v>
      </c>
      <c r="X51" s="2">
        <f t="shared" si="1"/>
        <v>1.7999999999999998</v>
      </c>
      <c r="Y51" t="s">
        <v>169</v>
      </c>
    </row>
    <row r="52" spans="1:25">
      <c r="A52">
        <v>0</v>
      </c>
      <c r="B52">
        <v>3</v>
      </c>
      <c r="C52">
        <v>2</v>
      </c>
      <c r="D52" t="s">
        <v>40</v>
      </c>
      <c r="E52" t="s">
        <v>80</v>
      </c>
      <c r="F52" t="s">
        <v>14</v>
      </c>
      <c r="G52" s="2" t="s">
        <v>170</v>
      </c>
      <c r="H52" s="2" t="s">
        <v>83</v>
      </c>
      <c r="I52" s="2" t="s">
        <v>84</v>
      </c>
      <c r="J52" s="5">
        <v>4.09</v>
      </c>
      <c r="K52" s="5">
        <v>53.72</v>
      </c>
      <c r="W52">
        <v>8</v>
      </c>
      <c r="X52" s="2">
        <f t="shared" si="1"/>
        <v>8</v>
      </c>
      <c r="Y52" t="s">
        <v>171</v>
      </c>
    </row>
    <row r="53" spans="1:25">
      <c r="A53">
        <v>0</v>
      </c>
      <c r="B53">
        <v>3</v>
      </c>
      <c r="C53">
        <v>2</v>
      </c>
      <c r="D53" t="s">
        <v>41</v>
      </c>
      <c r="E53" t="s">
        <v>80</v>
      </c>
      <c r="F53" t="s">
        <v>14</v>
      </c>
      <c r="G53" s="2" t="s">
        <v>172</v>
      </c>
      <c r="H53" s="2" t="s">
        <v>83</v>
      </c>
      <c r="I53" s="2" t="s">
        <v>84</v>
      </c>
      <c r="J53">
        <v>4.05</v>
      </c>
      <c r="K53">
        <v>52.07</v>
      </c>
      <c r="Q53">
        <v>1.2</v>
      </c>
      <c r="R53">
        <v>1.2</v>
      </c>
      <c r="S53">
        <v>1.2</v>
      </c>
      <c r="T53">
        <v>1.2</v>
      </c>
      <c r="U53">
        <v>1.2</v>
      </c>
      <c r="V53">
        <v>1.2</v>
      </c>
      <c r="W53">
        <v>1.2</v>
      </c>
      <c r="X53" s="2">
        <f t="shared" si="1"/>
        <v>1.2</v>
      </c>
      <c r="Y53" t="s">
        <v>173</v>
      </c>
    </row>
    <row r="54" spans="1:25">
      <c r="A54">
        <v>0</v>
      </c>
      <c r="B54">
        <v>3</v>
      </c>
      <c r="C54">
        <v>2</v>
      </c>
      <c r="D54" t="s">
        <v>41</v>
      </c>
      <c r="E54" t="s">
        <v>80</v>
      </c>
      <c r="F54" t="s">
        <v>14</v>
      </c>
      <c r="G54" s="2" t="s">
        <v>174</v>
      </c>
      <c r="H54" s="2" t="s">
        <v>83</v>
      </c>
      <c r="I54" s="2" t="s">
        <v>84</v>
      </c>
      <c r="J54">
        <v>4.09</v>
      </c>
      <c r="K54">
        <v>52.92</v>
      </c>
      <c r="Q54">
        <v>2.5</v>
      </c>
      <c r="R54">
        <v>2.5</v>
      </c>
      <c r="S54">
        <v>2.5</v>
      </c>
      <c r="T54">
        <v>2.5</v>
      </c>
      <c r="U54">
        <v>2.5</v>
      </c>
      <c r="V54">
        <v>2.5</v>
      </c>
      <c r="W54">
        <v>2.5</v>
      </c>
      <c r="X54" s="2">
        <f t="shared" si="1"/>
        <v>2.5</v>
      </c>
      <c r="Y54" t="s">
        <v>173</v>
      </c>
    </row>
    <row r="55" spans="1:25">
      <c r="A55">
        <v>0</v>
      </c>
      <c r="B55">
        <v>0</v>
      </c>
      <c r="C55">
        <v>3</v>
      </c>
      <c r="D55" t="s">
        <v>34</v>
      </c>
      <c r="E55" t="s">
        <v>175</v>
      </c>
      <c r="F55" t="s">
        <v>16</v>
      </c>
      <c r="G55" s="2" t="s">
        <v>176</v>
      </c>
      <c r="H55" s="2" t="s">
        <v>177</v>
      </c>
      <c r="I55" s="2" t="s">
        <v>84</v>
      </c>
      <c r="J55" s="2">
        <v>6.5</v>
      </c>
      <c r="K55" s="2">
        <v>54.5</v>
      </c>
      <c r="X55">
        <v>60</v>
      </c>
      <c r="Y55" t="s">
        <v>178</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D516-B3A8-407F-A1D9-201A98D61715}">
  <dimension ref="A1:G10"/>
  <sheetViews>
    <sheetView workbookViewId="0">
      <selection activeCell="K26" sqref="K26"/>
    </sheetView>
  </sheetViews>
  <sheetFormatPr defaultRowHeight="15"/>
  <cols>
    <col min="1" max="1" width="11.5703125" bestFit="1" customWidth="1"/>
    <col min="2" max="2" width="5.42578125" bestFit="1" customWidth="1"/>
    <col min="3" max="3" width="8.140625" bestFit="1" customWidth="1"/>
    <col min="4" max="4" width="5" bestFit="1" customWidth="1"/>
    <col min="5" max="5" width="26.140625" bestFit="1" customWidth="1"/>
    <col min="6" max="6" width="8.140625" bestFit="1" customWidth="1"/>
    <col min="7" max="7" width="5.5703125" bestFit="1" customWidth="1"/>
  </cols>
  <sheetData>
    <row r="1" spans="1:7">
      <c r="B1" t="s">
        <v>27</v>
      </c>
      <c r="E1" t="s">
        <v>179</v>
      </c>
    </row>
    <row r="2" spans="1:7">
      <c r="B2" t="s">
        <v>22</v>
      </c>
      <c r="C2" t="s">
        <v>23</v>
      </c>
      <c r="D2" t="s">
        <v>24</v>
      </c>
      <c r="E2" t="s">
        <v>180</v>
      </c>
      <c r="F2" t="s">
        <v>181</v>
      </c>
      <c r="G2" t="s">
        <v>182</v>
      </c>
    </row>
    <row r="3" spans="1:7">
      <c r="A3">
        <v>2030</v>
      </c>
      <c r="B3" s="12">
        <f>SUMIF(Storage_projects!A$9:A$55,1,Storage_projects!$Q$9:$Q$55)</f>
        <v>36.9</v>
      </c>
      <c r="C3" s="12">
        <f>SUMIF(Storage_projects!B$9:B$55,1,Storage_projects!$Q$9:$Q$55)</f>
        <v>51.9</v>
      </c>
      <c r="D3" s="12">
        <f>SUMIF(Storage_projects!C$9:C$55,1,Storage_projects!$Q$9:$Q$55)</f>
        <v>51.9</v>
      </c>
      <c r="E3" s="13">
        <f t="shared" ref="E3:G5" si="0">B3/B$5</f>
        <v>0.26565874730021594</v>
      </c>
      <c r="F3" s="13">
        <f t="shared" si="0"/>
        <v>0.18976234003656306</v>
      </c>
      <c r="G3" s="13">
        <f t="shared" si="0"/>
        <v>0.13895582329317271</v>
      </c>
    </row>
    <row r="4" spans="1:7">
      <c r="A4">
        <v>2040</v>
      </c>
      <c r="B4" s="12">
        <f>SUMIF(Storage_projects!A$9:A$55,1,Storage_projects!$W$9:$W$55)+SUMIF(Storage_projects!A$9:A$55,2,Storage_projects!$W$9:$W$55)</f>
        <v>117.9</v>
      </c>
      <c r="C4" s="12">
        <f>SUMIF(Storage_projects!B$9:B$55,1,Storage_projects!$W$9:$W$55)+SUMIF(Storage_projects!B$9:B$55,2,Storage_projects!$W$9:$W$55)</f>
        <v>202.9</v>
      </c>
      <c r="D4" s="12">
        <f>SUMIF(Storage_projects!C$9:C$55,1,Storage_projects!$W$9:$W$55)+SUMIF(Storage_projects!C$9:C$55,2,Storage_projects!$W$9:$W$55)</f>
        <v>313.49999999999994</v>
      </c>
      <c r="E4" s="13">
        <f t="shared" si="0"/>
        <v>0.84881209503239741</v>
      </c>
      <c r="F4" s="13">
        <f t="shared" si="0"/>
        <v>0.74186471663619746</v>
      </c>
      <c r="G4" s="13">
        <f t="shared" si="0"/>
        <v>0.8393574297188755</v>
      </c>
    </row>
    <row r="5" spans="1:7">
      <c r="A5">
        <v>2050</v>
      </c>
      <c r="B5" s="12">
        <f>SUMIF(Storage_projects!A$9:A$55,1,Storage_projects!$X$9:$X$55)+SUMIF(Storage_projects!A$9:A$55,2,Storage_projects!$X$9:$X$55)+SUMIF(Storage_projects!A$9:A$55,3,Storage_projects!$X$9:$X$55)</f>
        <v>138.9</v>
      </c>
      <c r="C5" s="12">
        <f>SUMIF(Storage_projects!B$9:B$55,1,Storage_projects!$X$9:$X$55)+SUMIF(Storage_projects!B$9:B$55,2,Storage_projects!$X$9:$X$55)+SUMIF(Storage_projects!B$9:B$55,3,Storage_projects!$X$9:$X$55)</f>
        <v>273.5</v>
      </c>
      <c r="D5" s="12">
        <f>SUMIF(Storage_projects!C$9:C$55,1,Storage_projects!$X$9:$X$55)+SUMIF(Storage_projects!C$9:C$55,2,Storage_projects!$X$9:$X$55)+SUMIF(Storage_projects!C$9:C$55,3,Storage_projects!$X$9:$X$55)</f>
        <v>373.49999999999994</v>
      </c>
      <c r="E5" s="13">
        <f t="shared" si="0"/>
        <v>1</v>
      </c>
      <c r="F5" s="13">
        <f t="shared" si="0"/>
        <v>1</v>
      </c>
      <c r="G5" s="13">
        <f t="shared" si="0"/>
        <v>1</v>
      </c>
    </row>
    <row r="7" spans="1:7">
      <c r="A7" t="s">
        <v>183</v>
      </c>
      <c r="B7" t="s">
        <v>22</v>
      </c>
      <c r="C7" t="s">
        <v>23</v>
      </c>
      <c r="D7" t="s">
        <v>24</v>
      </c>
    </row>
    <row r="8" spans="1:7">
      <c r="A8">
        <v>2030</v>
      </c>
      <c r="B8">
        <f>SUMIF(Onshore_storage_potentials!$B$2:$B$16,Totals!$A8,Onshore_storage_potentials!C$2:C$16)+SUMIF(Offshore_storage_potentials!$D$2:$D$58,Totals!$A8,Offshore_storage_potentials!E$2:E$58)</f>
        <v>36.9</v>
      </c>
      <c r="C8">
        <f>SUMIF(Onshore_storage_potentials!$B$2:$B$16,Totals!$A8,Onshore_storage_potentials!D$2:D$16)+SUMIF(Offshore_storage_potentials!$D$2:$D$58,Totals!$A8,Offshore_storage_potentials!F$2:F$58)</f>
        <v>51.9</v>
      </c>
      <c r="D8">
        <f>SUMIF(Onshore_storage_potentials!$B$2:$B$16,Totals!$A8,Onshore_storage_potentials!E$2:E$16)+SUMIF(Offshore_storage_potentials!$D$2:$D$58,Totals!$A8,Offshore_storage_potentials!G$2:G$58)</f>
        <v>51.9</v>
      </c>
      <c r="E8" s="12">
        <f>B8-B3</f>
        <v>0</v>
      </c>
      <c r="F8" s="12">
        <f t="shared" ref="F8:G10" si="1">C8-C3</f>
        <v>0</v>
      </c>
      <c r="G8" s="12">
        <f t="shared" si="1"/>
        <v>0</v>
      </c>
    </row>
    <row r="9" spans="1:7">
      <c r="A9">
        <v>2040</v>
      </c>
      <c r="B9">
        <f>SUMIF(Onshore_storage_potentials!$B$2:$B$16,Totals!$A9,Onshore_storage_potentials!C$2:C$16)+SUMIF(Offshore_storage_potentials!$D$2:$D$58,Totals!$A9,Offshore_storage_potentials!E$2:E$58)</f>
        <v>117.9</v>
      </c>
      <c r="C9">
        <f>SUMIF(Onshore_storage_potentials!$B$2:$B$16,Totals!$A9,Onshore_storage_potentials!D$2:D$16)+SUMIF(Offshore_storage_potentials!$D$2:$D$58,Totals!$A9,Offshore_storage_potentials!F$2:F$58)</f>
        <v>202.9</v>
      </c>
      <c r="D9">
        <f>SUMIF(Onshore_storage_potentials!$B$2:$B$16,Totals!$A9,Onshore_storage_potentials!E$2:E$16)+SUMIF(Offshore_storage_potentials!$D$2:$D$58,Totals!$A9,Offshore_storage_potentials!G$2:G$58)</f>
        <v>313.5</v>
      </c>
      <c r="E9" s="12">
        <f t="shared" ref="E9:E10" si="2">B9-B4</f>
        <v>0</v>
      </c>
      <c r="F9" s="12">
        <f t="shared" si="1"/>
        <v>0</v>
      </c>
      <c r="G9" s="12">
        <f t="shared" si="1"/>
        <v>0</v>
      </c>
    </row>
    <row r="10" spans="1:7">
      <c r="A10">
        <v>2050</v>
      </c>
      <c r="B10">
        <f>SUMIF(Onshore_storage_potentials!$B$2:$B$16,Totals!$A10,Onshore_storage_potentials!C$2:C$16)+SUMIF(Offshore_storage_potentials!$D$2:$D$58,Totals!$A10,Offshore_storage_potentials!E$2:E$58)</f>
        <v>138.9</v>
      </c>
      <c r="C10">
        <f>SUMIF(Onshore_storage_potentials!$B$2:$B$16,Totals!$A10,Onshore_storage_potentials!D$2:D$16)+SUMIF(Offshore_storage_potentials!$D$2:$D$58,Totals!$A10,Offshore_storage_potentials!F$2:F$58)</f>
        <v>273.5</v>
      </c>
      <c r="D10">
        <f>SUMIF(Onshore_storage_potentials!$B$2:$B$16,Totals!$A10,Onshore_storage_potentials!E$2:E$16)+SUMIF(Offshore_storage_potentials!$D$2:$D$58,Totals!$A10,Offshore_storage_potentials!G$2:G$58)</f>
        <v>373.5</v>
      </c>
      <c r="E10" s="12">
        <f t="shared" si="2"/>
        <v>0</v>
      </c>
      <c r="F10" s="12">
        <f t="shared" si="1"/>
        <v>0</v>
      </c>
      <c r="G10" s="12">
        <f t="shared" si="1"/>
        <v>0</v>
      </c>
    </row>
  </sheetData>
  <conditionalFormatting sqref="E8:G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FB97F-622D-4ED6-84DD-EB8567CB9EA6}">
  <dimension ref="A1:C20"/>
  <sheetViews>
    <sheetView workbookViewId="0">
      <selection activeCell="L29" sqref="L29"/>
    </sheetView>
  </sheetViews>
  <sheetFormatPr defaultRowHeight="15"/>
  <sheetData>
    <row r="1" spans="1:3">
      <c r="A1" t="s">
        <v>33</v>
      </c>
      <c r="B1" t="s">
        <v>62</v>
      </c>
      <c r="C1" t="s">
        <v>184</v>
      </c>
    </row>
    <row r="2" spans="1:3">
      <c r="A2" t="s">
        <v>34</v>
      </c>
      <c r="B2" t="s">
        <v>175</v>
      </c>
      <c r="C2">
        <v>1</v>
      </c>
    </row>
    <row r="3" spans="1:3">
      <c r="A3" t="s">
        <v>35</v>
      </c>
      <c r="B3" t="s">
        <v>26</v>
      </c>
      <c r="C3">
        <v>1</v>
      </c>
    </row>
    <row r="4" spans="1:3">
      <c r="A4" t="s">
        <v>36</v>
      </c>
      <c r="B4" t="s">
        <v>145</v>
      </c>
      <c r="C4">
        <v>1</v>
      </c>
    </row>
    <row r="5" spans="1:3">
      <c r="A5" t="s">
        <v>37</v>
      </c>
      <c r="B5" t="s">
        <v>101</v>
      </c>
      <c r="C5">
        <v>1</v>
      </c>
    </row>
    <row r="6" spans="1:3">
      <c r="A6" t="s">
        <v>38</v>
      </c>
      <c r="B6" t="s">
        <v>128</v>
      </c>
      <c r="C6">
        <v>1</v>
      </c>
    </row>
    <row r="7" spans="1:3">
      <c r="A7" t="s">
        <v>39</v>
      </c>
      <c r="B7" t="s">
        <v>104</v>
      </c>
      <c r="C7">
        <v>1</v>
      </c>
    </row>
    <row r="8" spans="1:3">
      <c r="A8" t="s">
        <v>40</v>
      </c>
      <c r="B8" t="s">
        <v>80</v>
      </c>
      <c r="C8">
        <v>1</v>
      </c>
    </row>
    <row r="9" spans="1:3">
      <c r="A9" t="s">
        <v>41</v>
      </c>
      <c r="B9" t="s">
        <v>80</v>
      </c>
      <c r="C9">
        <v>2</v>
      </c>
    </row>
    <row r="10" spans="1:3">
      <c r="A10" t="s">
        <v>42</v>
      </c>
      <c r="B10" t="s">
        <v>94</v>
      </c>
      <c r="C10">
        <v>1</v>
      </c>
    </row>
    <row r="11" spans="1:3">
      <c r="A11" t="s">
        <v>43</v>
      </c>
      <c r="B11" t="s">
        <v>94</v>
      </c>
      <c r="C11">
        <v>2</v>
      </c>
    </row>
    <row r="12" spans="1:3">
      <c r="A12" t="s">
        <v>44</v>
      </c>
      <c r="B12" t="s">
        <v>94</v>
      </c>
      <c r="C12">
        <v>3</v>
      </c>
    </row>
    <row r="13" spans="1:3">
      <c r="A13" t="s">
        <v>45</v>
      </c>
      <c r="B13" t="s">
        <v>91</v>
      </c>
      <c r="C13">
        <v>1</v>
      </c>
    </row>
    <row r="14" spans="1:3">
      <c r="A14" t="s">
        <v>46</v>
      </c>
      <c r="B14" t="s">
        <v>91</v>
      </c>
      <c r="C14">
        <v>2</v>
      </c>
    </row>
    <row r="15" spans="1:3">
      <c r="A15" t="s">
        <v>47</v>
      </c>
      <c r="B15" t="s">
        <v>91</v>
      </c>
      <c r="C15">
        <v>3</v>
      </c>
    </row>
    <row r="16" spans="1:3">
      <c r="A16" t="s">
        <v>48</v>
      </c>
      <c r="B16" t="s">
        <v>91</v>
      </c>
      <c r="C16">
        <v>4</v>
      </c>
    </row>
    <row r="17" spans="1:3">
      <c r="A17" t="s">
        <v>49</v>
      </c>
      <c r="B17" t="s">
        <v>91</v>
      </c>
      <c r="C17">
        <v>5</v>
      </c>
    </row>
    <row r="18" spans="1:3">
      <c r="A18" t="s">
        <v>50</v>
      </c>
      <c r="B18" t="s">
        <v>91</v>
      </c>
      <c r="C18">
        <v>6</v>
      </c>
    </row>
    <row r="19" spans="1:3">
      <c r="A19" t="s">
        <v>51</v>
      </c>
      <c r="B19" t="s">
        <v>91</v>
      </c>
      <c r="C19">
        <v>7</v>
      </c>
    </row>
    <row r="20" spans="1:3">
      <c r="A20" t="s">
        <v>52</v>
      </c>
      <c r="B20" t="s">
        <v>91</v>
      </c>
      <c r="C20">
        <v>8</v>
      </c>
    </row>
  </sheetData>
  <autoFilter ref="A1:C20" xr:uid="{583FB97F-622D-4ED6-84DD-EB8567CB9EA6}">
    <sortState xmlns:xlrd2="http://schemas.microsoft.com/office/spreadsheetml/2017/richdata2" ref="A2:C20">
      <sortCondition ref="B1:B20"/>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fdc0861-d23e-4709-9d68-ef921bbc70c6">
      <Terms xmlns="http://schemas.microsoft.com/office/infopath/2007/PartnerControls"/>
    </lcf76f155ced4ddcb4097134ff3c332f>
    <TaxCatchAll xmlns="b9c4644f-b87d-45e1-ba85-805c3ecc1a6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CF0052042A124C899DC8656D7661A7" ma:contentTypeVersion="33" ma:contentTypeDescription="Create a new document." ma:contentTypeScope="" ma:versionID="f4f0efdbe57938bd405e046236597867">
  <xsd:schema xmlns:xsd="http://www.w3.org/2001/XMLSchema" xmlns:xs="http://www.w3.org/2001/XMLSchema" xmlns:p="http://schemas.microsoft.com/office/2006/metadata/properties" xmlns:ns2="7fdc0861-d23e-4709-9d68-ef921bbc70c6" xmlns:ns3="b9c4644f-b87d-45e1-ba85-805c3ecc1a60" xmlns:ns4="5f6e3a84-cd39-47d0-8e43-7d027d9185ff" targetNamespace="http://schemas.microsoft.com/office/2006/metadata/properties" ma:root="true" ma:fieldsID="e954ec6f276e606304fa52d35c862fb1" ns2:_="" ns3:_="" ns4:_="">
    <xsd:import namespace="7fdc0861-d23e-4709-9d68-ef921bbc70c6"/>
    <xsd:import namespace="b9c4644f-b87d-45e1-ba85-805c3ecc1a60"/>
    <xsd:import namespace="5f6e3a84-cd39-47d0-8e43-7d027d9185f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4:SharedWithUsers" minOccurs="0"/>
                <xsd:element ref="ns4:SharedWithDetails"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dc0861-d23e-4709-9d68-ef921bbc70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1220a57-3561-4c6c-81d9-ab175e5725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4644f-b87d-45e1-ba85-805c3ecc1a6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0ff778a-350f-450e-b832-788273fc7cfc}" ma:internalName="TaxCatchAll" ma:showField="CatchAllData" ma:web="5f6e3a84-cd39-47d0-8e43-7d027d9185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f6e3a84-cd39-47d0-8e43-7d027d9185f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534584-4C61-4944-97D0-22BBC53C1340}"/>
</file>

<file path=customXml/itemProps2.xml><?xml version="1.0" encoding="utf-8"?>
<ds:datastoreItem xmlns:ds="http://schemas.openxmlformats.org/officeDocument/2006/customXml" ds:itemID="{25C89C0A-CEBE-4148-AB86-8A7814941188}"/>
</file>

<file path=customXml/itemProps3.xml><?xml version="1.0" encoding="utf-8"?>
<ds:datastoreItem xmlns:ds="http://schemas.openxmlformats.org/officeDocument/2006/customXml" ds:itemID="{9FB3CF44-3738-4316-B00D-8DD180FB03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Hout, van Marit</dc:creator>
  <cp:keywords/>
  <dc:description/>
  <cp:lastModifiedBy>Hout, van Marit</cp:lastModifiedBy>
  <cp:revision/>
  <dcterms:created xsi:type="dcterms:W3CDTF">2026-05-12T10:43:36Z</dcterms:created>
  <dcterms:modified xsi:type="dcterms:W3CDTF">2026-09-19T19:35:58Z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0x01010073CF0052042A124C899DC8656D7661A7</vt:lpwstr>
  </property>
  <property fmtid="{D5CDD505-2E9C-101B-9397-08002B2CF9AE}" pid="3" name="MediaServiceImageTags">
    <vt:lpwstr/>
  </property>
</Properties>
</file>