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Z:\Project\E555230_MOPO\WP5.3\"/>
    </mc:Choice>
  </mc:AlternateContent>
  <xr:revisionPtr revIDLastSave="0" documentId="13_ncr:1_{771481A5-F2CC-4A36-B6E3-99DB8CE0402D}" xr6:coauthVersionLast="47" xr6:coauthVersionMax="47" xr10:uidLastSave="{00000000-0000-0000-0000-000000000000}"/>
  <bookViews>
    <workbookView xWindow="-120" yWindow="-120" windowWidth="29040" windowHeight="15840" activeTab="2" xr2:uid="{954DEFA4-640E-4600-A38E-2C30DE16594D}"/>
  </bookViews>
  <sheets>
    <sheet name="Info" sheetId="17" r:id="rId1"/>
    <sheet name="CO2_netw_links_and_costs_panEU" sheetId="15" r:id="rId2"/>
    <sheet name="CO2_netw_links_and_costs_IC1" sheetId="25" r:id="rId3"/>
    <sheet name="shipping_costs" sheetId="1" r:id="rId4"/>
    <sheet name="storage_costs" sheetId="4" r:id="rId5"/>
    <sheet name="pipeline_costs" sheetId="5" r:id="rId6"/>
    <sheet name="X_Y_CO2_harbor_hubs" sheetId="10" r:id="rId7"/>
    <sheet name="X_Y_offshore_storage_hub" sheetId="12" r:id="rId8"/>
    <sheet name="neighbors_cargo_data" sheetId="18" r:id="rId9"/>
  </sheets>
  <definedNames>
    <definedName name="_xlnm._FilterDatabase" localSheetId="2" hidden="1">CO2_netw_links_and_costs_IC1!$A$1:$G$200</definedName>
    <definedName name="_xlnm._FilterDatabase" localSheetId="1" hidden="1">CO2_netw_links_and_costs_panEU!$A$1:$G$146</definedName>
    <definedName name="_xlnm._FilterDatabase" localSheetId="7" hidden="1">X_Y_offshore_storage_hub!$A$37:$H$76</definedName>
    <definedName name="CO2_harbor_hubs">X_Y_CO2_harbor_hubs!$B$2:$B$100</definedName>
    <definedName name="exchange_rate_USD25_EUR25">Info!$E$34</definedName>
    <definedName name="per_ton_offshore_storage_costs">Info!$E$29</definedName>
    <definedName name="per_ton_onshore_storage_costs">Info!$E$28</definedName>
    <definedName name="pipe_a">Info!$E$30</definedName>
    <definedName name="pipe_b">Info!$E$31</definedName>
    <definedName name="ship_a">Info!$E$32</definedName>
    <definedName name="ship_b">Info!$E$33</definedName>
    <definedName name="Threshold">Info!$E$27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7" i="25" l="1"/>
  <c r="G8" i="25"/>
  <c r="G10" i="25"/>
  <c r="G11" i="25"/>
  <c r="G12" i="25"/>
  <c r="E7" i="25"/>
  <c r="E8" i="25"/>
  <c r="E9" i="25"/>
  <c r="G9" i="25" s="1"/>
  <c r="E10" i="25"/>
  <c r="E11" i="25"/>
  <c r="E12" i="25"/>
  <c r="E13" i="25"/>
  <c r="G13" i="25" s="1"/>
  <c r="E29" i="25"/>
  <c r="G29" i="25" s="1"/>
  <c r="E28" i="25"/>
  <c r="G28" i="25" s="1"/>
  <c r="E27" i="25"/>
  <c r="G27" i="25" s="1"/>
  <c r="E26" i="25"/>
  <c r="G26" i="25" s="1"/>
  <c r="E25" i="25"/>
  <c r="G25" i="25" s="1"/>
  <c r="E24" i="25"/>
  <c r="G24" i="25" s="1"/>
  <c r="E23" i="25"/>
  <c r="G23" i="25" s="1"/>
  <c r="E22" i="25"/>
  <c r="G22" i="25" s="1"/>
  <c r="E21" i="25"/>
  <c r="G21" i="25" s="1"/>
  <c r="E20" i="25"/>
  <c r="G20" i="25" s="1"/>
  <c r="E19" i="25"/>
  <c r="G19" i="25" s="1"/>
  <c r="E18" i="25"/>
  <c r="G18" i="25" s="1"/>
  <c r="E17" i="25"/>
  <c r="G17" i="25" s="1"/>
  <c r="E16" i="25"/>
  <c r="G16" i="25" s="1"/>
  <c r="E15" i="25"/>
  <c r="G15" i="25" s="1"/>
  <c r="E14" i="25"/>
  <c r="G14" i="25" s="1"/>
  <c r="E30" i="25"/>
  <c r="E31" i="25"/>
  <c r="E32" i="25"/>
  <c r="E33" i="25"/>
  <c r="E34" i="25"/>
  <c r="E35" i="25"/>
  <c r="E36" i="25"/>
  <c r="E37" i="25"/>
  <c r="E38" i="25"/>
  <c r="E39" i="25"/>
  <c r="E40" i="25"/>
  <c r="E41" i="25"/>
  <c r="E42" i="25"/>
  <c r="E43" i="25"/>
  <c r="E44" i="25"/>
  <c r="E45" i="25"/>
  <c r="E46" i="25"/>
  <c r="E47" i="25"/>
  <c r="E48" i="25"/>
  <c r="E49" i="25"/>
  <c r="E50" i="25"/>
  <c r="E51" i="25"/>
  <c r="E52" i="25"/>
  <c r="E53" i="25"/>
  <c r="E54" i="25"/>
  <c r="E55" i="25"/>
  <c r="E56" i="25"/>
  <c r="E57" i="25"/>
  <c r="E58" i="25"/>
  <c r="E59" i="25"/>
  <c r="E60" i="25"/>
  <c r="E61" i="25"/>
  <c r="E62" i="25"/>
  <c r="E63" i="25"/>
  <c r="E64" i="25"/>
  <c r="E65" i="25"/>
  <c r="E66" i="25"/>
  <c r="E67" i="25"/>
  <c r="E68" i="25"/>
  <c r="E69" i="25"/>
  <c r="E70" i="25"/>
  <c r="E71" i="25"/>
  <c r="E72" i="25"/>
  <c r="E73" i="25"/>
  <c r="E74" i="25"/>
  <c r="E75" i="25"/>
  <c r="E76" i="25"/>
  <c r="E77" i="25"/>
  <c r="E78" i="25"/>
  <c r="E79" i="25"/>
  <c r="E80" i="25"/>
  <c r="E81" i="25"/>
  <c r="E82" i="25"/>
  <c r="E83" i="25"/>
  <c r="E84" i="25"/>
  <c r="E85" i="25"/>
  <c r="E86" i="25"/>
  <c r="E87" i="25"/>
  <c r="E88" i="25"/>
  <c r="E89" i="25"/>
  <c r="E90" i="25"/>
  <c r="E91" i="25"/>
  <c r="E92" i="25"/>
  <c r="E93" i="25"/>
  <c r="E94" i="25"/>
  <c r="E95" i="25"/>
  <c r="E96" i="25"/>
  <c r="E97" i="25"/>
  <c r="E98" i="25"/>
  <c r="E99" i="25"/>
  <c r="E100" i="25"/>
  <c r="E101" i="25"/>
  <c r="E102" i="25"/>
  <c r="E103" i="25"/>
  <c r="E104" i="25"/>
  <c r="E105" i="25"/>
  <c r="E106" i="25"/>
  <c r="E107" i="25"/>
  <c r="E108" i="25"/>
  <c r="E109" i="25"/>
  <c r="E110" i="25"/>
  <c r="E111" i="25"/>
  <c r="E112" i="25"/>
  <c r="E113" i="25"/>
  <c r="E114" i="25"/>
  <c r="E115" i="25"/>
  <c r="E116" i="25"/>
  <c r="E117" i="25"/>
  <c r="E118" i="25"/>
  <c r="E119" i="25"/>
  <c r="E120" i="25"/>
  <c r="E121" i="25"/>
  <c r="E122" i="25"/>
  <c r="E123" i="25"/>
  <c r="E124" i="25"/>
  <c r="E125" i="25"/>
  <c r="E126" i="25"/>
  <c r="E127" i="25"/>
  <c r="E128" i="25"/>
  <c r="E129" i="25"/>
  <c r="E130" i="25"/>
  <c r="E131" i="25"/>
  <c r="E132" i="25"/>
  <c r="E133" i="25"/>
  <c r="E134" i="25"/>
  <c r="E135" i="25"/>
  <c r="E136" i="25"/>
  <c r="E137" i="25"/>
  <c r="E138" i="25"/>
  <c r="E139" i="25"/>
  <c r="E140" i="25"/>
  <c r="E141" i="25"/>
  <c r="E142" i="25"/>
  <c r="E143" i="25"/>
  <c r="E144" i="25"/>
  <c r="E145" i="25"/>
  <c r="E146" i="25"/>
  <c r="E147" i="25"/>
  <c r="E148" i="25"/>
  <c r="E149" i="25"/>
  <c r="E150" i="25"/>
  <c r="E151" i="25"/>
  <c r="E152" i="25"/>
  <c r="E153" i="25"/>
  <c r="E154" i="25"/>
  <c r="E155" i="25"/>
  <c r="E156" i="25"/>
  <c r="E157" i="25"/>
  <c r="E158" i="25"/>
  <c r="E159" i="25"/>
  <c r="E160" i="25"/>
  <c r="E161" i="25"/>
  <c r="E162" i="25"/>
  <c r="E163" i="25"/>
  <c r="E164" i="25"/>
  <c r="E165" i="25"/>
  <c r="E166" i="25"/>
  <c r="E167" i="25"/>
  <c r="E168" i="25"/>
  <c r="E169" i="25"/>
  <c r="E170" i="25"/>
  <c r="E171" i="25"/>
  <c r="E172" i="25"/>
  <c r="E173" i="25"/>
  <c r="E174" i="25"/>
  <c r="E175" i="25"/>
  <c r="E176" i="25"/>
  <c r="E177" i="25"/>
  <c r="E178" i="25"/>
  <c r="E179" i="25"/>
  <c r="E180" i="25"/>
  <c r="E181" i="25"/>
  <c r="E182" i="25"/>
  <c r="E183" i="25"/>
  <c r="E184" i="25"/>
  <c r="E185" i="25"/>
  <c r="E186" i="25"/>
  <c r="E187" i="25"/>
  <c r="E188" i="25"/>
  <c r="E189" i="25"/>
  <c r="E190" i="25"/>
  <c r="E191" i="25"/>
  <c r="E192" i="25"/>
  <c r="E193" i="25"/>
  <c r="E194" i="25"/>
  <c r="E195" i="25"/>
  <c r="E196" i="25"/>
  <c r="E197" i="25"/>
  <c r="E198" i="25"/>
  <c r="E199" i="25"/>
  <c r="E200" i="2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E77" i="15"/>
  <c r="E78" i="15"/>
  <c r="E79" i="15"/>
  <c r="E80" i="15"/>
  <c r="E81" i="15"/>
  <c r="E82" i="15"/>
  <c r="E83" i="15"/>
  <c r="E84" i="15"/>
  <c r="E85" i="15"/>
  <c r="E86" i="15"/>
  <c r="E87" i="15"/>
  <c r="E88" i="15"/>
  <c r="E89" i="15"/>
  <c r="E90" i="15"/>
  <c r="E91" i="15"/>
  <c r="E92" i="15"/>
  <c r="E93" i="15"/>
  <c r="E94" i="15"/>
  <c r="E95" i="15"/>
  <c r="E96" i="15"/>
  <c r="E97" i="15"/>
  <c r="E98" i="15"/>
  <c r="E99" i="15"/>
  <c r="E100" i="15"/>
  <c r="E101" i="15"/>
  <c r="E102" i="15"/>
  <c r="E103" i="15"/>
  <c r="E104" i="15"/>
  <c r="E105" i="15"/>
  <c r="E106" i="15"/>
  <c r="E107" i="15"/>
  <c r="E108" i="15"/>
  <c r="E109" i="15"/>
  <c r="E110" i="15"/>
  <c r="E111" i="15"/>
  <c r="E112" i="15"/>
  <c r="E113" i="15"/>
  <c r="E114" i="15"/>
  <c r="E115" i="15"/>
  <c r="E116" i="15"/>
  <c r="E117" i="15"/>
  <c r="E118" i="15"/>
  <c r="E119" i="15"/>
  <c r="E120" i="15"/>
  <c r="E121" i="15"/>
  <c r="E122" i="15"/>
  <c r="E123" i="15"/>
  <c r="E124" i="15"/>
  <c r="E125" i="15"/>
  <c r="E126" i="15"/>
  <c r="E127" i="15"/>
  <c r="E128" i="15"/>
  <c r="E129" i="15"/>
  <c r="E130" i="15"/>
  <c r="E131" i="15"/>
  <c r="E132" i="15"/>
  <c r="E133" i="15"/>
  <c r="E134" i="15"/>
  <c r="E135" i="15"/>
  <c r="E136" i="15"/>
  <c r="E137" i="15"/>
  <c r="E138" i="15"/>
  <c r="E139" i="15"/>
  <c r="E140" i="15"/>
  <c r="E141" i="15"/>
  <c r="E142" i="15"/>
  <c r="E143" i="15"/>
  <c r="E144" i="15"/>
  <c r="E145" i="15"/>
  <c r="E146" i="15"/>
  <c r="E26" i="15"/>
  <c r="G181" i="25"/>
  <c r="G31" i="25"/>
  <c r="G32" i="25"/>
  <c r="G33" i="25"/>
  <c r="G34" i="25"/>
  <c r="G35" i="25"/>
  <c r="G36" i="25"/>
  <c r="G37" i="25"/>
  <c r="G38" i="25"/>
  <c r="G39" i="25"/>
  <c r="G40" i="25"/>
  <c r="G41" i="25"/>
  <c r="G42" i="25"/>
  <c r="G43" i="25"/>
  <c r="G44" i="25"/>
  <c r="G45" i="25"/>
  <c r="G46" i="25"/>
  <c r="G47" i="25"/>
  <c r="G48" i="25"/>
  <c r="G49" i="25"/>
  <c r="G50" i="25"/>
  <c r="G51" i="25"/>
  <c r="G52" i="25"/>
  <c r="G53" i="25"/>
  <c r="G54" i="25"/>
  <c r="G55" i="25"/>
  <c r="G56" i="25"/>
  <c r="G57" i="25"/>
  <c r="G58" i="25"/>
  <c r="G59" i="25"/>
  <c r="G60" i="25"/>
  <c r="G61" i="25"/>
  <c r="G62" i="25"/>
  <c r="G63" i="25"/>
  <c r="G64" i="25"/>
  <c r="G65" i="25"/>
  <c r="G66" i="25"/>
  <c r="G67" i="25"/>
  <c r="G68" i="25"/>
  <c r="G69" i="25"/>
  <c r="G70" i="25"/>
  <c r="G71" i="25"/>
  <c r="G72" i="25"/>
  <c r="G73" i="25"/>
  <c r="G74" i="25"/>
  <c r="G75" i="25"/>
  <c r="G76" i="25"/>
  <c r="G77" i="25"/>
  <c r="G78" i="25"/>
  <c r="G79" i="25"/>
  <c r="G80" i="25"/>
  <c r="G81" i="25"/>
  <c r="G82" i="25"/>
  <c r="G83" i="25"/>
  <c r="G84" i="25"/>
  <c r="G85" i="25"/>
  <c r="G86" i="25"/>
  <c r="G87" i="25"/>
  <c r="G88" i="25"/>
  <c r="G89" i="25"/>
  <c r="G90" i="25"/>
  <c r="G91" i="25"/>
  <c r="G92" i="25"/>
  <c r="G93" i="25"/>
  <c r="G94" i="25"/>
  <c r="G95" i="25"/>
  <c r="G96" i="25"/>
  <c r="G97" i="25"/>
  <c r="G98" i="25"/>
  <c r="G99" i="25"/>
  <c r="G100" i="25"/>
  <c r="G101" i="25"/>
  <c r="G102" i="25"/>
  <c r="G103" i="25"/>
  <c r="G104" i="25"/>
  <c r="G105" i="25"/>
  <c r="G106" i="25"/>
  <c r="G107" i="25"/>
  <c r="G108" i="25"/>
  <c r="G109" i="25"/>
  <c r="G110" i="25"/>
  <c r="G111" i="25"/>
  <c r="G112" i="25"/>
  <c r="G113" i="25"/>
  <c r="G114" i="25"/>
  <c r="G115" i="25"/>
  <c r="G116" i="25"/>
  <c r="G117" i="25"/>
  <c r="G118" i="25"/>
  <c r="G119" i="25"/>
  <c r="G120" i="25"/>
  <c r="G121" i="25"/>
  <c r="G122" i="25"/>
  <c r="G123" i="25"/>
  <c r="G124" i="25"/>
  <c r="G125" i="25"/>
  <c r="G126" i="25"/>
  <c r="G127" i="25"/>
  <c r="G128" i="25"/>
  <c r="G129" i="25"/>
  <c r="G130" i="25"/>
  <c r="G131" i="25"/>
  <c r="G132" i="25"/>
  <c r="G133" i="25"/>
  <c r="G134" i="25"/>
  <c r="G135" i="25"/>
  <c r="G136" i="25"/>
  <c r="G137" i="25"/>
  <c r="G138" i="25"/>
  <c r="G139" i="25"/>
  <c r="G140" i="25"/>
  <c r="G141" i="25"/>
  <c r="G142" i="25"/>
  <c r="G143" i="25"/>
  <c r="G144" i="25"/>
  <c r="G145" i="25"/>
  <c r="G146" i="25"/>
  <c r="G147" i="25"/>
  <c r="G148" i="25"/>
  <c r="G149" i="25"/>
  <c r="G150" i="25"/>
  <c r="G151" i="25"/>
  <c r="G152" i="25"/>
  <c r="G153" i="25"/>
  <c r="G154" i="25"/>
  <c r="G155" i="25"/>
  <c r="G156" i="25"/>
  <c r="G157" i="25"/>
  <c r="G158" i="25"/>
  <c r="G159" i="25"/>
  <c r="G160" i="25"/>
  <c r="G161" i="25"/>
  <c r="G162" i="25"/>
  <c r="G163" i="25"/>
  <c r="G164" i="25"/>
  <c r="G165" i="25"/>
  <c r="G166" i="25"/>
  <c r="G167" i="25"/>
  <c r="G168" i="25"/>
  <c r="G169" i="25"/>
  <c r="G170" i="25"/>
  <c r="G171" i="25"/>
  <c r="G172" i="25"/>
  <c r="G173" i="25"/>
  <c r="G174" i="25"/>
  <c r="G175" i="25"/>
  <c r="G176" i="25"/>
  <c r="G177" i="25"/>
  <c r="G178" i="25"/>
  <c r="G179" i="25"/>
  <c r="G180" i="25"/>
  <c r="G182" i="25"/>
  <c r="G183" i="25"/>
  <c r="G184" i="25"/>
  <c r="G185" i="25"/>
  <c r="G186" i="25"/>
  <c r="G187" i="25"/>
  <c r="G188" i="25"/>
  <c r="G189" i="25"/>
  <c r="G190" i="25"/>
  <c r="G191" i="25"/>
  <c r="G192" i="25"/>
  <c r="G193" i="25"/>
  <c r="G194" i="25"/>
  <c r="G195" i="25"/>
  <c r="G196" i="25"/>
  <c r="G197" i="25"/>
  <c r="G198" i="25"/>
  <c r="G199" i="25"/>
  <c r="G200" i="25"/>
  <c r="G30" i="25"/>
  <c r="G3" i="25"/>
  <c r="G4" i="25"/>
  <c r="G5" i="25"/>
  <c r="G6" i="25"/>
  <c r="G3" i="15"/>
  <c r="G4" i="15"/>
  <c r="G5" i="15"/>
  <c r="G6" i="15"/>
  <c r="E6" i="25"/>
  <c r="E5" i="25"/>
  <c r="E4" i="25"/>
  <c r="E3" i="25"/>
  <c r="E2" i="25"/>
  <c r="G26" i="15"/>
  <c r="G33" i="15"/>
  <c r="G32" i="15"/>
  <c r="G30" i="15"/>
  <c r="E29" i="17"/>
  <c r="E28" i="17"/>
  <c r="B3" i="4"/>
  <c r="B2" i="4"/>
  <c r="E35" i="17"/>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58" i="18"/>
  <c r="A59" i="18"/>
  <c r="A60" i="18"/>
  <c r="A61" i="18"/>
  <c r="A62" i="18"/>
  <c r="A63" i="18"/>
  <c r="A64" i="18"/>
  <c r="A65" i="18"/>
  <c r="A66" i="18"/>
  <c r="A67" i="18"/>
  <c r="A68" i="18"/>
  <c r="A69" i="18"/>
  <c r="A70" i="18"/>
  <c r="A71" i="18"/>
  <c r="A72" i="18"/>
  <c r="A73" i="18"/>
  <c r="A74" i="18"/>
  <c r="A75" i="18"/>
  <c r="A76" i="18"/>
  <c r="A77" i="18"/>
  <c r="A78" i="18"/>
  <c r="A79" i="18"/>
  <c r="A80" i="18"/>
  <c r="A81" i="18"/>
  <c r="A82" i="18"/>
  <c r="A83" i="18"/>
  <c r="A84" i="18"/>
  <c r="A85" i="18"/>
  <c r="A86" i="18"/>
  <c r="A87" i="18"/>
  <c r="A88" i="18"/>
  <c r="A89" i="18"/>
  <c r="A90" i="18"/>
  <c r="A91" i="18"/>
  <c r="A92" i="18"/>
  <c r="A93" i="18"/>
  <c r="A94" i="18"/>
  <c r="A95" i="18"/>
  <c r="A96" i="18"/>
  <c r="A97" i="18"/>
  <c r="A98" i="18"/>
  <c r="A99" i="18"/>
  <c r="A100" i="18"/>
  <c r="A101" i="18"/>
  <c r="A102" i="18"/>
  <c r="A103" i="18"/>
  <c r="A104" i="18"/>
  <c r="A105" i="18"/>
  <c r="A106" i="18"/>
  <c r="A107" i="18"/>
  <c r="A108" i="18"/>
  <c r="A109" i="18"/>
  <c r="A110" i="18"/>
  <c r="A111" i="18"/>
  <c r="A112" i="18"/>
  <c r="A113" i="18"/>
  <c r="A114" i="18"/>
  <c r="A115" i="18"/>
  <c r="A116" i="18"/>
  <c r="A117" i="18"/>
  <c r="A118" i="18"/>
  <c r="A119" i="18"/>
  <c r="A120" i="18"/>
  <c r="A121" i="18"/>
  <c r="A122" i="18"/>
  <c r="A123" i="18"/>
  <c r="A124" i="18"/>
  <c r="A125" i="18"/>
  <c r="A126" i="18"/>
  <c r="A127" i="18"/>
  <c r="A128" i="18"/>
  <c r="A129" i="18"/>
  <c r="A130" i="18"/>
  <c r="A131" i="18"/>
  <c r="A132" i="18"/>
  <c r="A133" i="18"/>
  <c r="A134" i="18"/>
  <c r="A135" i="18"/>
  <c r="A136" i="18"/>
  <c r="A137" i="18"/>
  <c r="A138" i="18"/>
  <c r="A139" i="18"/>
  <c r="A140" i="18"/>
  <c r="A141" i="18"/>
  <c r="A142" i="18"/>
  <c r="A143" i="18"/>
  <c r="A144" i="18"/>
  <c r="A145" i="18"/>
  <c r="A146" i="18"/>
  <c r="A147" i="18"/>
  <c r="A148" i="18"/>
  <c r="A149" i="18"/>
  <c r="A150" i="18"/>
  <c r="A151" i="18"/>
  <c r="A152" i="18"/>
  <c r="A153" i="18"/>
  <c r="A154" i="18"/>
  <c r="A155" i="18"/>
  <c r="A156" i="18"/>
  <c r="A157" i="18"/>
  <c r="A158" i="18"/>
  <c r="A159" i="18"/>
  <c r="A160" i="18"/>
  <c r="A161" i="18"/>
  <c r="A162" i="18"/>
  <c r="A163" i="18"/>
  <c r="A164" i="18"/>
  <c r="A165" i="18"/>
  <c r="A166" i="18"/>
  <c r="A167" i="18"/>
  <c r="A168" i="18"/>
  <c r="A169" i="18"/>
  <c r="A170" i="18"/>
  <c r="A171" i="18"/>
  <c r="A172" i="18"/>
  <c r="A173" i="18"/>
  <c r="A174" i="18"/>
  <c r="A175" i="18"/>
  <c r="A176" i="18"/>
  <c r="A177" i="18"/>
  <c r="A178" i="18"/>
  <c r="A179" i="18"/>
  <c r="A180" i="18"/>
  <c r="A181" i="18"/>
  <c r="A182" i="18"/>
  <c r="A183" i="18"/>
  <c r="A184" i="18"/>
  <c r="A185" i="18"/>
  <c r="A186" i="18"/>
  <c r="A187" i="18"/>
  <c r="A188" i="18"/>
  <c r="A189" i="18"/>
  <c r="A190" i="18"/>
  <c r="A3" i="18"/>
  <c r="E3" i="15"/>
  <c r="E4" i="15"/>
  <c r="E5" i="15"/>
  <c r="E6" i="15"/>
  <c r="E20" i="15"/>
  <c r="G20" i="15" s="1"/>
  <c r="E16" i="15"/>
  <c r="G16" i="15" s="1"/>
  <c r="E19" i="15"/>
  <c r="G19" i="15" s="1"/>
  <c r="E14" i="15"/>
  <c r="G14" i="15" s="1"/>
  <c r="E10" i="15"/>
  <c r="G10" i="15" s="1"/>
  <c r="E12" i="15"/>
  <c r="G12" i="15" s="1"/>
  <c r="E11" i="15"/>
  <c r="G11" i="15" s="1"/>
  <c r="E9" i="15"/>
  <c r="G9" i="15" s="1"/>
  <c r="E24" i="15"/>
  <c r="G24" i="15" s="1"/>
  <c r="E22" i="15"/>
  <c r="G22" i="15" s="1"/>
  <c r="E25" i="15"/>
  <c r="G25" i="15" s="1"/>
  <c r="E23" i="15"/>
  <c r="G23" i="15" s="1"/>
  <c r="E8" i="15"/>
  <c r="G8" i="15" s="1"/>
  <c r="E7" i="15"/>
  <c r="G7" i="15" s="1"/>
  <c r="E17" i="15"/>
  <c r="G17" i="15" s="1"/>
  <c r="E18" i="15"/>
  <c r="G18" i="15" s="1"/>
  <c r="E13" i="15"/>
  <c r="G13" i="15" s="1"/>
  <c r="E15" i="15"/>
  <c r="G15" i="15" s="1"/>
  <c r="E21" i="15"/>
  <c r="G21" i="15" s="1"/>
  <c r="G48" i="15"/>
  <c r="G49" i="15"/>
  <c r="G53" i="15"/>
  <c r="G52" i="15"/>
  <c r="G51" i="15"/>
  <c r="G56" i="15"/>
  <c r="G55" i="15"/>
  <c r="G54" i="15"/>
  <c r="G46" i="15"/>
  <c r="G62" i="15"/>
  <c r="G61" i="15"/>
  <c r="G58" i="15"/>
  <c r="G68" i="15"/>
  <c r="G66" i="15"/>
  <c r="G64" i="15"/>
  <c r="G59" i="15"/>
  <c r="G60" i="15"/>
  <c r="G57" i="15"/>
  <c r="G67" i="15"/>
  <c r="G65" i="15"/>
  <c r="G63" i="15"/>
  <c r="G45" i="15"/>
  <c r="G47" i="15"/>
  <c r="G50" i="15"/>
  <c r="G41" i="15"/>
  <c r="G42" i="15"/>
  <c r="G38" i="15"/>
  <c r="G37" i="15"/>
  <c r="G35" i="15"/>
  <c r="G27" i="15"/>
  <c r="G40" i="15"/>
  <c r="G44" i="15"/>
  <c r="G43" i="15"/>
  <c r="G31" i="15"/>
  <c r="G34" i="15"/>
  <c r="G28" i="15"/>
  <c r="G39" i="15"/>
  <c r="G36" i="15"/>
  <c r="G29" i="15"/>
  <c r="G93" i="15"/>
  <c r="G82" i="15"/>
  <c r="G72" i="15"/>
  <c r="G77" i="15"/>
  <c r="G109" i="15"/>
  <c r="G74" i="15"/>
  <c r="G71" i="15"/>
  <c r="G117" i="15"/>
  <c r="G87" i="15"/>
  <c r="G119" i="15"/>
  <c r="G110" i="15"/>
  <c r="G122" i="15"/>
  <c r="G105" i="15"/>
  <c r="G95" i="15"/>
  <c r="G99" i="15"/>
  <c r="G125" i="15"/>
  <c r="G130" i="15"/>
  <c r="G121" i="15"/>
  <c r="G113" i="15"/>
  <c r="G132" i="15"/>
  <c r="G136" i="15"/>
  <c r="G115" i="15"/>
  <c r="G143" i="15"/>
  <c r="G73" i="15"/>
  <c r="G96" i="15"/>
  <c r="G126" i="15"/>
  <c r="G124" i="15"/>
  <c r="G138" i="15"/>
  <c r="G112" i="15"/>
  <c r="G128" i="15"/>
  <c r="G114" i="15"/>
  <c r="G84" i="15"/>
  <c r="G78" i="15"/>
  <c r="G81" i="15"/>
  <c r="G83" i="15"/>
  <c r="G92" i="15"/>
  <c r="G88" i="15"/>
  <c r="G69" i="15"/>
  <c r="G146" i="15"/>
  <c r="G135" i="15"/>
  <c r="G133" i="15"/>
  <c r="G80" i="15"/>
  <c r="G127" i="15"/>
  <c r="G85" i="15"/>
  <c r="G106" i="15"/>
  <c r="G129" i="15"/>
  <c r="G118" i="15"/>
  <c r="G104" i="15"/>
  <c r="G107" i="15"/>
  <c r="G97" i="15"/>
  <c r="G116" i="15"/>
  <c r="G91" i="15"/>
  <c r="G86" i="15"/>
  <c r="G108" i="15"/>
  <c r="G100" i="15"/>
  <c r="G98" i="15"/>
  <c r="G90" i="15"/>
  <c r="G103" i="15"/>
  <c r="G137" i="15"/>
  <c r="G131" i="15"/>
  <c r="G123" i="15"/>
  <c r="G134" i="15"/>
  <c r="G75" i="15"/>
  <c r="G102" i="15"/>
  <c r="G111" i="15"/>
  <c r="G94" i="15"/>
  <c r="G76" i="15"/>
  <c r="G142" i="15"/>
  <c r="G120" i="15"/>
  <c r="G144" i="15"/>
  <c r="G139" i="15"/>
  <c r="G89" i="15"/>
  <c r="G141" i="15"/>
  <c r="G140" i="15"/>
  <c r="G145" i="15"/>
  <c r="G101" i="15"/>
  <c r="G70" i="15"/>
  <c r="G79" i="15"/>
  <c r="E2" i="15"/>
  <c r="E33" i="17"/>
  <c r="E32" i="17"/>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23" i="1"/>
  <c r="B24" i="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C5" i="5"/>
  <c r="H10" i="1"/>
  <c r="I10" i="1" s="1"/>
  <c r="H11" i="1"/>
  <c r="I11" i="1" s="1"/>
  <c r="H12" i="1"/>
  <c r="I12" i="1" s="1"/>
  <c r="H13" i="1"/>
  <c r="I13" i="1" s="1"/>
  <c r="H6" i="1"/>
  <c r="I6" i="1" s="1"/>
  <c r="H7" i="1"/>
  <c r="I7" i="1" s="1"/>
  <c r="H8" i="1"/>
  <c r="I8" i="1" s="1"/>
  <c r="H5" i="1"/>
  <c r="I5" i="1" s="1"/>
  <c r="C3" i="12"/>
  <c r="D3" i="12"/>
  <c r="C4" i="12"/>
  <c r="D4" i="12"/>
  <c r="C5" i="12"/>
  <c r="D5" i="12"/>
  <c r="C6" i="12"/>
  <c r="D6" i="12"/>
  <c r="C7" i="12"/>
  <c r="D7" i="12"/>
  <c r="C8" i="12"/>
  <c r="D8" i="12"/>
  <c r="C9" i="12"/>
  <c r="D9" i="12"/>
  <c r="C10" i="12"/>
  <c r="D10" i="12"/>
  <c r="C11" i="12"/>
  <c r="D11" i="12"/>
  <c r="C12" i="12"/>
  <c r="D12" i="12"/>
  <c r="C13" i="12"/>
  <c r="D13" i="12"/>
  <c r="C14" i="12"/>
  <c r="D14" i="12"/>
  <c r="C15" i="12"/>
  <c r="D15" i="12"/>
  <c r="C16" i="12"/>
  <c r="D16" i="12"/>
  <c r="C17" i="12"/>
  <c r="D17" i="12"/>
  <c r="C18" i="12"/>
  <c r="D18" i="12"/>
  <c r="C19" i="12"/>
  <c r="D19" i="12"/>
  <c r="C20" i="12"/>
  <c r="D20" i="12"/>
  <c r="B3" i="12"/>
  <c r="B4" i="12"/>
  <c r="B5" i="12"/>
  <c r="B6" i="12"/>
  <c r="B7" i="12"/>
  <c r="B8" i="12"/>
  <c r="B9" i="12"/>
  <c r="B10" i="12"/>
  <c r="B11" i="12"/>
  <c r="B12" i="12"/>
  <c r="B13" i="12"/>
  <c r="B14" i="12"/>
  <c r="B15" i="12"/>
  <c r="B16" i="12"/>
  <c r="B17" i="12"/>
  <c r="B18" i="12"/>
  <c r="B19" i="12"/>
  <c r="B20" i="12"/>
  <c r="B2" i="12"/>
  <c r="G34" i="12"/>
  <c r="F34" i="12"/>
  <c r="G33" i="12"/>
  <c r="F33" i="12"/>
  <c r="G32" i="12"/>
  <c r="F32" i="12"/>
  <c r="G31" i="12"/>
  <c r="F31" i="12"/>
  <c r="G30" i="12"/>
  <c r="F30" i="12"/>
  <c r="G29" i="12"/>
  <c r="F29" i="12"/>
  <c r="F28" i="12"/>
  <c r="C2" i="12"/>
  <c r="D2" i="12"/>
  <c r="G28" i="12"/>
  <c r="G2" i="25" l="1"/>
  <c r="G2" i="15"/>
  <c r="E30" i="17"/>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tc={48CD6ECB-4AAB-4EF9-AF52-48486A19C8E9}</author>
  </authors>
  <commentList>
    <comment ref="A34" authorId="0" shapeId="0" xr:uid="{48CD6ECB-4AAB-4EF9-AF52-48486A19C8E9}">
      <text>
        <t>[Threaded comment]
Your version of Excel allows you to read this threaded comment; however, any edits to it will get removed if the file is opened in a newer version of Excel. Learn more: https://go.microsoft.com/fwlink/?linkid=870924
Comment:
    https://www.exchange-rates.org/exchange-rate-history/usd-eur-2025</t>
      </text>
    </comment>
  </commentList>
</comments>
</file>

<file path=xl/sharedStrings.xml><?xml version="1.0" encoding="utf-8"?>
<sst xmlns="http://schemas.openxmlformats.org/spreadsheetml/2006/main" count="2169" uniqueCount="259">
  <si>
    <t>Source:</t>
  </si>
  <si>
    <t>Barlow et al. (2025) Advancements in CCS technology and costs. Global CCS Institute.</t>
  </si>
  <si>
    <t>distance km</t>
  </si>
  <si>
    <t>US_dollar2025/ton CO2</t>
  </si>
  <si>
    <t>EU2025/ton_CO2</t>
  </si>
  <si>
    <t>avg</t>
  </si>
  <si>
    <t>Barlow et al (2025), flows exceeding 1 Mtpa through pipelines will only yield modest cost reductions (most economies of scale have been reached)</t>
  </si>
  <si>
    <t>km</t>
  </si>
  <si>
    <t>usd/km/tonne</t>
  </si>
  <si>
    <t>euro2025/km/tonne</t>
  </si>
  <si>
    <t>Assuming 2 Mtpa</t>
  </si>
  <si>
    <t>AL</t>
  </si>
  <si>
    <t>BG</t>
  </si>
  <si>
    <t>DE</t>
  </si>
  <si>
    <t>DK</t>
  </si>
  <si>
    <t>ES</t>
  </si>
  <si>
    <t>FR</t>
  </si>
  <si>
    <t>GR</t>
  </si>
  <si>
    <t>HR</t>
  </si>
  <si>
    <t>IE</t>
  </si>
  <si>
    <t>IT</t>
  </si>
  <si>
    <t>NL</t>
  </si>
  <si>
    <t>NO</t>
  </si>
  <si>
    <t>RO</t>
  </si>
  <si>
    <t>UK</t>
  </si>
  <si>
    <t>AT</t>
  </si>
  <si>
    <t>BA</t>
  </si>
  <si>
    <t>BE</t>
  </si>
  <si>
    <t>CH</t>
  </si>
  <si>
    <t>CY</t>
  </si>
  <si>
    <t>CZ</t>
  </si>
  <si>
    <t>EE</t>
  </si>
  <si>
    <t>FI</t>
  </si>
  <si>
    <t>HU</t>
  </si>
  <si>
    <t>LT</t>
  </si>
  <si>
    <t>LU</t>
  </si>
  <si>
    <t>LV</t>
  </si>
  <si>
    <t>MD</t>
  </si>
  <si>
    <t>ME</t>
  </si>
  <si>
    <t>MK</t>
  </si>
  <si>
    <t>MT</t>
  </si>
  <si>
    <t>PL</t>
  </si>
  <si>
    <t>PT</t>
  </si>
  <si>
    <t>RS</t>
  </si>
  <si>
    <t>SE</t>
  </si>
  <si>
    <t>SI</t>
  </si>
  <si>
    <t>SK</t>
  </si>
  <si>
    <t>TR</t>
  </si>
  <si>
    <t>UA</t>
  </si>
  <si>
    <t>XK</t>
  </si>
  <si>
    <t>CO2_processing_tariff_euro/ton</t>
  </si>
  <si>
    <t>OFF3</t>
  </si>
  <si>
    <t>Porthos</t>
  </si>
  <si>
    <t>Greensand</t>
  </si>
  <si>
    <t>Bifrost</t>
  </si>
  <si>
    <t>HyNet North West storage project</t>
  </si>
  <si>
    <t>Northern Lights</t>
  </si>
  <si>
    <t>Prinos CO2 storage</t>
  </si>
  <si>
    <t>Ravenna storage</t>
  </si>
  <si>
    <t>Aramis</t>
  </si>
  <si>
    <t>Smeaheia</t>
  </si>
  <si>
    <t>Acorn CCS</t>
  </si>
  <si>
    <t>Viking CCS</t>
  </si>
  <si>
    <t>Bacton Thames Net Zero Initiative</t>
  </si>
  <si>
    <t>Poseidon (UK)</t>
  </si>
  <si>
    <t>Northen Endurance Partnership</t>
  </si>
  <si>
    <t>Orion</t>
  </si>
  <si>
    <t>Poseidon CCS</t>
  </si>
  <si>
    <t>Luna CCS</t>
  </si>
  <si>
    <t>Polaris / Barents Blue</t>
  </si>
  <si>
    <t>Trudvang CCS</t>
  </si>
  <si>
    <t>Havstjerne</t>
  </si>
  <si>
    <t>Ervia Cork CCS</t>
  </si>
  <si>
    <t>Tarraco2</t>
  </si>
  <si>
    <t>L10</t>
  </si>
  <si>
    <t>Acorn CCS - extension</t>
  </si>
  <si>
    <t>Bacton Thames Net Zero Initiative - extension</t>
  </si>
  <si>
    <t>Orion - extension</t>
  </si>
  <si>
    <t>Northen Endurance Partnership - extension</t>
  </si>
  <si>
    <t>Morecambe Net Zero</t>
  </si>
  <si>
    <t>Poseidon (UK) - extension</t>
  </si>
  <si>
    <t>Veri Shetland</t>
  </si>
  <si>
    <t>Atlas</t>
  </si>
  <si>
    <t>Kinno</t>
  </si>
  <si>
    <t>Northern Lights - extension</t>
  </si>
  <si>
    <t>Aramis - extension</t>
  </si>
  <si>
    <t>Kompas</t>
  </si>
  <si>
    <t>Abeona</t>
  </si>
  <si>
    <t>German Northsea</t>
  </si>
  <si>
    <t>NSNL031</t>
  </si>
  <si>
    <t>NSDKW12</t>
  </si>
  <si>
    <t>ATUK031</t>
  </si>
  <si>
    <t>ASNOS3</t>
  </si>
  <si>
    <t>NSNOS22</t>
  </si>
  <si>
    <t>ASNON1</t>
  </si>
  <si>
    <t>EMGR02</t>
  </si>
  <si>
    <t>WMITN1</t>
  </si>
  <si>
    <t>NSNL012</t>
  </si>
  <si>
    <t>NSUK052</t>
  </si>
  <si>
    <t>NSUK042</t>
  </si>
  <si>
    <t>NSUK011</t>
  </si>
  <si>
    <t>NSUK012</t>
  </si>
  <si>
    <t>NSUK041</t>
  </si>
  <si>
    <t>ATIE03</t>
  </si>
  <si>
    <t>WMES06</t>
  </si>
  <si>
    <t>ATUK043</t>
  </si>
  <si>
    <t>ASUK051</t>
  </si>
  <si>
    <t>NSDE011</t>
  </si>
  <si>
    <t>description</t>
  </si>
  <si>
    <t>xcoordinate</t>
  </si>
  <si>
    <t>ycoordinate</t>
  </si>
  <si>
    <t>CHH_west_med_ES</t>
  </si>
  <si>
    <t>CO2 Harbor Hub West Mediterranian (Barcelona harbor, ES)</t>
  </si>
  <si>
    <t>https://www.portdebarcelona.cat/en/communication/news/port-barcelonas-energy-transition-plan-will-enable-85-reduction-co2-emissions-2040</t>
  </si>
  <si>
    <t>CHH_mid_med_IT</t>
  </si>
  <si>
    <t>CO2 Harbor Hub Adriatic sea ravenna (Italy)</t>
  </si>
  <si>
    <t>CCS Eni-Snam: Ravenna Hub</t>
  </si>
  <si>
    <t>CHH_east_med_GR</t>
  </si>
  <si>
    <t>CO2 Harbor Hub east mediterranian Prinos (GR)</t>
  </si>
  <si>
    <t>Prinos CO2 | Energean PLC</t>
  </si>
  <si>
    <t>CHH_baltics_LT</t>
  </si>
  <si>
    <t>CO2 Harbor Hub Baltics Klaipeda (LT)</t>
  </si>
  <si>
    <t>Klaipėda's CO₂ terminal recognised as part of the energy system - CCS Baltic Consortium project</t>
  </si>
  <si>
    <t>CHH_southwest_NL</t>
  </si>
  <si>
    <t>CO2 Harbor Hub Rotterdam harbor (NL)</t>
  </si>
  <si>
    <t>Opslag en gebruik van CO2 | Port of Rotterdam</t>
  </si>
  <si>
    <t>CHH_north_NL</t>
  </si>
  <si>
    <t>CO2 Harbor Hub Eemshaven harbor (NL)</t>
  </si>
  <si>
    <t>H2M Eemshaven - CarbonStorage</t>
  </si>
  <si>
    <t>CHH_northwest_NL</t>
  </si>
  <si>
    <t>CO2 Harbor Hub Amsterdam harbor (NL)</t>
  </si>
  <si>
    <t>Amsterdam project | SeaSeaS</t>
  </si>
  <si>
    <t>CHH_eastcoast_UK</t>
  </si>
  <si>
    <t>CO2 Harbor Hub Middlesborough port (UK)</t>
  </si>
  <si>
    <t>East Coast Cluster</t>
  </si>
  <si>
    <t>CHH_westcoast_UK</t>
  </si>
  <si>
    <t>CO2 Harbor Hub Liverpool port (UK)</t>
  </si>
  <si>
    <t>HyNet hub</t>
  </si>
  <si>
    <t>CHH_IE</t>
  </si>
  <si>
    <t>CO2 Harbor Hub Dublin port (IE)</t>
  </si>
  <si>
    <t>Ervia Cork CCUS</t>
  </si>
  <si>
    <t>CHH_southwest_NO</t>
  </si>
  <si>
    <t>CO2 Harbor Hub Bergen port (NO)</t>
  </si>
  <si>
    <t>The Northern Lights project - Equinor</t>
  </si>
  <si>
    <t>CHH_northwest_NO</t>
  </si>
  <si>
    <t>CO2 Harbor Hub Hammerfest port (NO)</t>
  </si>
  <si>
    <t>Snøhvit and Hammerfest LNG - Equinor</t>
  </si>
  <si>
    <t>CHH_north_DE</t>
  </si>
  <si>
    <t>CO2 Harbor Hub Hamburg port (DE)</t>
  </si>
  <si>
    <t>portofhamburg.com | Logistics hub for CO2</t>
  </si>
  <si>
    <t>CHH_antwerp_BE</t>
  </si>
  <si>
    <t>CO2 Harbor Hub Antwerp port (BE)</t>
  </si>
  <si>
    <t>Antwerp@C CO₂ Export Hub</t>
  </si>
  <si>
    <t>CHH_zeebrugge_BE</t>
  </si>
  <si>
    <t>CO2 Harbor Hub Zeebrugge port (BE)</t>
  </si>
  <si>
    <t>CO₂ Hub in Zeebrugge</t>
  </si>
  <si>
    <t>CHH_ghent_BE</t>
  </si>
  <si>
    <t>CO2 Harbor Hub Ghent port (BE)</t>
  </si>
  <si>
    <t>Ghent Carbon Hub | ENTSOG</t>
  </si>
  <si>
    <t>CO2_Harbor_Hubs(CHH)</t>
  </si>
  <si>
    <t>PECD</t>
  </si>
  <si>
    <t>Project</t>
  </si>
  <si>
    <t>Country</t>
  </si>
  <si>
    <t>Storage Basin / Reservoir</t>
  </si>
  <si>
    <t>xcoordinates</t>
  </si>
  <si>
    <t>ycoordinates</t>
  </si>
  <si>
    <t>Netherlands</t>
  </si>
  <si>
    <t>Offshore storage</t>
  </si>
  <si>
    <t>Denmark</t>
  </si>
  <si>
    <t>United Kingdom</t>
  </si>
  <si>
    <t>Norway</t>
  </si>
  <si>
    <t>Sleipner CO₂ Storage</t>
  </si>
  <si>
    <t>Snøhvit CO₂ Storage</t>
  </si>
  <si>
    <t>Greece</t>
  </si>
  <si>
    <t>Italy</t>
  </si>
  <si>
    <t>Ireland</t>
  </si>
  <si>
    <t>Spain</t>
  </si>
  <si>
    <t>Germany</t>
  </si>
  <si>
    <t>Max_capacity</t>
  </si>
  <si>
    <t>weighted_avg</t>
  </si>
  <si>
    <t>weighted avg capacity location?</t>
  </si>
  <si>
    <t>All projects</t>
  </si>
  <si>
    <t>weighted avg location based on capacity (if #projects&gt;1)</t>
  </si>
  <si>
    <t>CO2</t>
  </si>
  <si>
    <t>distance_km</t>
  </si>
  <si>
    <t>Commodity</t>
  </si>
  <si>
    <t>CO2_network_component</t>
  </si>
  <si>
    <t>Link_region_hub_to_onshore_storage</t>
  </si>
  <si>
    <t>CO2 Harbor Hub Esbjerg port (DK)</t>
  </si>
  <si>
    <t>CHH_DK</t>
  </si>
  <si>
    <t>https://www.ineos.com/news/shared-news/construction-begins-on-greensands-co-transit-terminal-at-port-esbjerg.-the-first-gateway-for-carbon-storage-in-the-eu/</t>
  </si>
  <si>
    <t>Date</t>
  </si>
  <si>
    <t>Mopo</t>
  </si>
  <si>
    <t>Name</t>
  </si>
  <si>
    <t>Marit van Hout</t>
  </si>
  <si>
    <t>Organisation</t>
  </si>
  <si>
    <t>PBL</t>
  </si>
  <si>
    <t>Content</t>
  </si>
  <si>
    <t>Storage costs</t>
  </si>
  <si>
    <t>Assumptions</t>
  </si>
  <si>
    <t>1 Mtpa</t>
  </si>
  <si>
    <t>Liquefaction</t>
  </si>
  <si>
    <t>Intermediate Storage</t>
  </si>
  <si>
    <t>Conditioning</t>
  </si>
  <si>
    <t>Ships</t>
  </si>
  <si>
    <t>Loading and Unloading</t>
  </si>
  <si>
    <t>2 Mtpa</t>
  </si>
  <si>
    <t>Total</t>
  </si>
  <si>
    <t>medium pressure</t>
  </si>
  <si>
    <t>up to  50.000 tonnes</t>
  </si>
  <si>
    <t>Exchange rate USD2025/Euro2025</t>
  </si>
  <si>
    <t>a</t>
  </si>
  <si>
    <t>b</t>
  </si>
  <si>
    <t>shipping costs [euro2025/ton]</t>
  </si>
  <si>
    <t>Intersection = threshold</t>
  </si>
  <si>
    <t>Pipeline costs in euro25/km/ton</t>
  </si>
  <si>
    <t>Shipping costs in euro25/km/ton</t>
  </si>
  <si>
    <t>transport_mode</t>
  </si>
  <si>
    <t>Link_region_hub_to_region_hub</t>
  </si>
  <si>
    <t>EUR2009_TO_EUR2025 (HICP Eurostat)</t>
  </si>
  <si>
    <t>onshore storage</t>
  </si>
  <si>
    <t>offshore storage</t>
  </si>
  <si>
    <t>USD2025/ton</t>
  </si>
  <si>
    <t>Source</t>
  </si>
  <si>
    <t>Hatta et al. (2025) Costs of CO2 Storage. Global CCS Institute: https://www.globalccsinstitute.com/wp-content/uploads/2025/12/Cost-of-CO2-Storage-1225.pdf</t>
  </si>
  <si>
    <t>onshore</t>
  </si>
  <si>
    <t>offshore</t>
  </si>
  <si>
    <r>
      <t>€2025</t>
    </r>
    <r>
      <rPr>
        <sz val="9.35"/>
        <color theme="1"/>
        <rFont val="Aptos Narrow"/>
        <family val="2"/>
      </rPr>
      <t>/ton CO2</t>
    </r>
  </si>
  <si>
    <t>Link types:</t>
  </si>
  <si>
    <t>Regional hubs can only be connected to regional hubs of neighboring regions/countries</t>
  </si>
  <si>
    <t>BEC1</t>
  </si>
  <si>
    <t>BEC2</t>
  </si>
  <si>
    <t>BEC3</t>
  </si>
  <si>
    <t>BEC4</t>
  </si>
  <si>
    <t>BEC5</t>
  </si>
  <si>
    <t>BEC6</t>
  </si>
  <si>
    <t>BEC7</t>
  </si>
  <si>
    <t>BEC8</t>
  </si>
  <si>
    <t>NLC1</t>
  </si>
  <si>
    <t>NLC2</t>
  </si>
  <si>
    <t>NLC3</t>
  </si>
  <si>
    <t>NLC4</t>
  </si>
  <si>
    <t>NLC5</t>
  </si>
  <si>
    <t>NLC6</t>
  </si>
  <si>
    <t>NLC7</t>
  </si>
  <si>
    <t>NLC8</t>
  </si>
  <si>
    <t>NLC9</t>
  </si>
  <si>
    <t>Link_region_hub_to_offshore_storage</t>
  </si>
  <si>
    <t>Link_region_hub_to_region_hub(via harbors)</t>
  </si>
  <si>
    <t>Each offshore storage facility is assumed to be connected to a single regional hub only (e.g. "NO" to "offsh_CO2_storage_ASNON1"). N.B. per OFF3 region a single location (x/y) is determined, derived by calculating the weight average location based on (potential) capacity of the CCS projects located in the corresponding OFF3 region. If there is only 1 project per OFF3 region, the location of the offshore storage node represents the location of the specific project. Transportation costs (distance determines transport mode) and offshore storage costs determine the costs per ton of CO2.</t>
  </si>
  <si>
    <t>Each onshore storage facility is assumed to only be directly connected to the corresponding regional hub, hence only onshore storage costs apply, transportation costs are zero. The location of the regional hubs is determined by their centroid location.</t>
  </si>
  <si>
    <t>A.Link_region_hub_to_onshore_storage</t>
  </si>
  <si>
    <t>B.Link_region_hub_to_offshore_storage</t>
  </si>
  <si>
    <t>C.Link_region_hub_to_region_hub(via harbors)</t>
  </si>
  <si>
    <t>D.Link_region_hub_to_region_hub</t>
  </si>
  <si>
    <t>NodeA</t>
  </si>
  <si>
    <t>NodeB</t>
  </si>
  <si>
    <r>
      <t xml:space="preserve">This document contains data on the CO2 network layout, transport mode (pipeline or shipping), and the accompanying costs derived from Barlow et al. (2025) and Hatta et al. (2025). Where we simplify assumptions assuming a threshold value indicating which transport mode is most economical. This then determines the costs for the particular link. The costs represent a 'processing_fee', representing (annualized) total costs of required network investments and operational costs. Four types of nodes are considered in the network: </t>
    </r>
    <r>
      <rPr>
        <b/>
        <sz val="11"/>
        <color theme="1"/>
        <rFont val="Aptos Narrow"/>
        <family val="2"/>
        <scheme val="minor"/>
      </rPr>
      <t>onshore storage nodes</t>
    </r>
    <r>
      <rPr>
        <sz val="11"/>
        <color theme="1"/>
        <rFont val="Aptos Narrow"/>
        <family val="2"/>
        <scheme val="minor"/>
      </rPr>
      <t xml:space="preserve">, </t>
    </r>
    <r>
      <rPr>
        <b/>
        <sz val="11"/>
        <color theme="1"/>
        <rFont val="Aptos Narrow"/>
        <family val="2"/>
        <scheme val="minor"/>
      </rPr>
      <t>offshore storage nodes</t>
    </r>
    <r>
      <rPr>
        <sz val="11"/>
        <color theme="1"/>
        <rFont val="Aptos Narrow"/>
        <family val="2"/>
        <scheme val="minor"/>
      </rPr>
      <t xml:space="preserve">, </t>
    </r>
    <r>
      <rPr>
        <b/>
        <sz val="11"/>
        <color theme="1"/>
        <rFont val="Aptos Narrow"/>
        <family val="2"/>
        <scheme val="minor"/>
      </rPr>
      <t>CO2 harbor hubs</t>
    </r>
    <r>
      <rPr>
        <sz val="11"/>
        <color theme="1"/>
        <rFont val="Aptos Narrow"/>
        <family val="2"/>
        <scheme val="minor"/>
      </rPr>
      <t xml:space="preserve"> and </t>
    </r>
    <r>
      <rPr>
        <b/>
        <sz val="11"/>
        <color theme="1"/>
        <rFont val="Aptos Narrow"/>
        <family val="2"/>
        <scheme val="minor"/>
      </rPr>
      <t>regional/country nodes</t>
    </r>
    <r>
      <rPr>
        <sz val="11"/>
        <color theme="1"/>
        <rFont val="Aptos Narrow"/>
        <family val="2"/>
        <scheme val="minor"/>
      </rPr>
      <t xml:space="preserve"> where the CO2 is gathered from capture units (or passing through). The distances between nodes are derived using QGIS (Open source GIS program). The main output of this file used for the modelling in SpineOpt is </t>
    </r>
    <r>
      <rPr>
        <b/>
        <sz val="11"/>
        <color theme="1"/>
        <rFont val="Aptos Narrow"/>
        <family val="2"/>
        <scheme val="minor"/>
      </rPr>
      <t>CO2_network_links_and_costs, with "_panEU" input to Pan EU study, and with "_IC1" input to the industrial case study for NL/BE</t>
    </r>
    <r>
      <rPr>
        <sz val="11"/>
        <color theme="1"/>
        <rFont val="Aptos Narrow"/>
        <family val="2"/>
        <scheme val="minor"/>
      </rPr>
      <t xml:space="preserve">. </t>
    </r>
    <r>
      <rPr>
        <b/>
        <u/>
        <sz val="11"/>
        <color theme="1"/>
        <rFont val="Aptos Narrow"/>
        <family val="2"/>
        <scheme val="minor"/>
      </rPr>
      <t>The links are two-directional.</t>
    </r>
  </si>
  <si>
    <t xml:space="preserve">We assume that some regional hubs can be connected to other regional hubs via harbors if the latter is directly connected to an offshore storage facility. With the exeption of northwest NO that can only be connected through "NO". Transportation costs (distance determines transport mode) determine the costs per ton of CO2.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</si>
</sst>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00"/>
    <numFmt numFmtId="167" formatCode="#,##0.000"/>
  </numFmts>
  <fonts count="30"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rgb="FF3F3F76"/>
      <name val="Aptos Narrow"/>
      <family val="2"/>
      <scheme val="minor"/>
    </font>
    <font>
      <sz val="10"/>
      <name val="Arial"/>
      <family val="2"/>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u/>
      <sz val="11"/>
      <color theme="10"/>
      <name val="Aptos Narrow"/>
      <family val="2"/>
      <scheme val="minor"/>
    </font>
    <font>
      <sz val="11"/>
      <name val="Aptos Narrow"/>
      <family val="2"/>
      <scheme val="minor"/>
    </font>
    <font>
      <b/>
      <sz val="11"/>
      <name val="Aptos Narrow"/>
      <family val="2"/>
      <scheme val="minor"/>
    </font>
    <font>
      <sz val="11"/>
      <name val="Calibri"/>
      <family val="2"/>
    </font>
    <font>
      <sz val="8"/>
      <name val="Aptos Narrow"/>
      <family val="2"/>
      <scheme val="minor"/>
    </font>
    <font>
      <sz val="12"/>
      <color theme="1"/>
      <name val="Segoe UI"/>
      <family val="2"/>
    </font>
    <font>
      <sz val="11"/>
      <color theme="1"/>
      <name val="Aptos Narrow"/>
      <family val="2"/>
    </font>
    <font>
      <sz val="9.35"/>
      <color theme="1"/>
      <name val="Aptos Narrow"/>
      <family val="2"/>
    </font>
    <font>
      <sz val="8"/>
      <color theme="1"/>
      <name val="Segoe UI"/>
      <family val="2"/>
    </font>
    <font>
      <sz val="12"/>
      <color rgb="FF0D0D0D"/>
      <name val="Segoe UI"/>
      <family val="2"/>
    </font>
    <font>
      <b/>
      <u/>
      <sz val="11"/>
      <color theme="1"/>
      <name val="Aptos Narrow"/>
      <family val="2"/>
      <scheme val="minor"/>
    </font>
  </fonts>
  <fills count="36">
    <fill>
      <patternFill patternType="none"/>
    </fill>
    <fill>
      <patternFill patternType="gray125"/>
    </fill>
    <fill>
      <patternFill patternType="solid">
        <fgColor rgb="FFFFCC99"/>
      </patternFill>
    </fill>
    <fill>
      <patternFill patternType="solid">
        <fgColor theme="7" tint="0.79998168889431442"/>
        <bgColor indexed="6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theme="7"/>
      </patternFill>
    </fill>
    <fill>
      <patternFill patternType="solid">
        <fgColor theme="0"/>
        <bgColor indexed="64"/>
      </patternFill>
    </fill>
    <fill>
      <patternFill patternType="solid">
        <fgColor theme="2"/>
        <bgColor indexed="64"/>
      </patternFill>
    </fill>
  </fills>
  <borders count="11">
    <border>
      <left/>
      <right/>
      <top/>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bottom style="thick">
        <color theme="0"/>
      </bottom>
      <diagonal/>
    </border>
  </borders>
  <cellStyleXfs count="44">
    <xf numFmtId="0" fontId="0" fillId="0" borderId="0"/>
    <xf numFmtId="0" fontId="3" fillId="2" borderId="1" applyNumberFormat="0" applyAlignment="0" applyProtection="0"/>
    <xf numFmtId="0" fontId="2" fillId="3" borderId="0" applyNumberFormat="0" applyBorder="0" applyAlignment="0" applyProtection="0"/>
    <xf numFmtId="0" fontId="4" fillId="0" borderId="0"/>
    <xf numFmtId="0" fontId="5" fillId="0" borderId="0" applyNumberFormat="0" applyFill="0" applyBorder="0" applyAlignment="0" applyProtection="0"/>
    <xf numFmtId="0" fontId="6" fillId="0" borderId="2" applyNumberFormat="0" applyFill="0" applyAlignment="0" applyProtection="0"/>
    <xf numFmtId="0" fontId="7" fillId="0" borderId="3" applyNumberFormat="0" applyFill="0" applyAlignment="0" applyProtection="0"/>
    <xf numFmtId="0" fontId="8" fillId="0" borderId="4" applyNumberFormat="0" applyFill="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5" applyNumberFormat="0" applyAlignment="0" applyProtection="0"/>
    <xf numFmtId="0" fontId="13" fillId="7" borderId="1" applyNumberFormat="0" applyAlignment="0" applyProtection="0"/>
    <xf numFmtId="0" fontId="14" fillId="0" borderId="6" applyNumberFormat="0" applyFill="0" applyAlignment="0" applyProtection="0"/>
    <xf numFmtId="0" fontId="15" fillId="8" borderId="7" applyNumberFormat="0" applyAlignment="0" applyProtection="0"/>
    <xf numFmtId="0" fontId="16" fillId="0" borderId="0" applyNumberFormat="0" applyFill="0" applyBorder="0" applyAlignment="0" applyProtection="0"/>
    <xf numFmtId="0" fontId="2" fillId="9" borderId="8" applyNumberFormat="0" applyFont="0" applyAlignment="0" applyProtection="0"/>
    <xf numFmtId="0" fontId="17" fillId="0" borderId="0" applyNumberFormat="0" applyFill="0" applyBorder="0" applyAlignment="0" applyProtection="0"/>
    <xf numFmtId="0" fontId="1" fillId="0" borderId="9" applyNumberFormat="0" applyFill="0" applyAlignment="0" applyProtection="0"/>
    <xf numFmtId="0" fontId="18"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18"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18"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18"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9" fillId="0" borderId="0" applyNumberFormat="0" applyFill="0" applyBorder="0" applyAlignment="0" applyProtection="0"/>
  </cellStyleXfs>
  <cellXfs count="45">
    <xf numFmtId="0" fontId="0" fillId="0" borderId="0" xfId="0"/>
    <xf numFmtId="164" fontId="0" fillId="0" borderId="0" xfId="0" applyNumberFormat="1"/>
    <xf numFmtId="1" fontId="0" fillId="0" borderId="0" xfId="0" applyNumberFormat="1"/>
    <xf numFmtId="0" fontId="1" fillId="0" borderId="0" xfId="0" applyFont="1"/>
    <xf numFmtId="0" fontId="3" fillId="2" borderId="1" xfId="1"/>
    <xf numFmtId="165" fontId="0" fillId="0" borderId="0" xfId="0" applyNumberFormat="1"/>
    <xf numFmtId="0" fontId="19" fillId="0" borderId="0" xfId="43"/>
    <xf numFmtId="0" fontId="15" fillId="33" borderId="10" xfId="0" applyFont="1" applyFill="1" applyBorder="1" applyAlignment="1">
      <alignment horizontal="center" vertical="center"/>
    </xf>
    <xf numFmtId="0" fontId="20" fillId="0" borderId="0" xfId="0" applyFont="1"/>
    <xf numFmtId="0" fontId="21" fillId="0" borderId="0" xfId="0" applyFont="1"/>
    <xf numFmtId="0" fontId="21" fillId="0" borderId="0" xfId="0" applyFont="1" applyAlignment="1">
      <alignment horizontal="center" vertical="center"/>
    </xf>
    <xf numFmtId="0" fontId="20" fillId="0" borderId="0" xfId="0" applyFont="1" applyAlignment="1">
      <alignment vertical="center"/>
    </xf>
    <xf numFmtId="164" fontId="20" fillId="0" borderId="0" xfId="0" applyNumberFormat="1" applyFont="1" applyAlignment="1">
      <alignment vertical="center"/>
    </xf>
    <xf numFmtId="164" fontId="20" fillId="0" borderId="0" xfId="0" applyNumberFormat="1" applyFont="1" applyAlignment="1">
      <alignment vertical="center" wrapText="1"/>
    </xf>
    <xf numFmtId="164" fontId="20" fillId="0" borderId="0" xfId="0" applyNumberFormat="1" applyFont="1"/>
    <xf numFmtId="0" fontId="20" fillId="0" borderId="0" xfId="0" applyFont="1" applyAlignment="1">
      <alignment vertical="center" wrapText="1"/>
    </xf>
    <xf numFmtId="0" fontId="22" fillId="0" borderId="0" xfId="0" applyFont="1" applyAlignment="1">
      <alignment wrapText="1"/>
    </xf>
    <xf numFmtId="0" fontId="20" fillId="0" borderId="0" xfId="0" applyFont="1" applyAlignment="1">
      <alignment horizontal="left" vertical="center"/>
    </xf>
    <xf numFmtId="0" fontId="24" fillId="0" borderId="0" xfId="0" applyFont="1"/>
    <xf numFmtId="166" fontId="0" fillId="0" borderId="0" xfId="0" applyNumberFormat="1"/>
    <xf numFmtId="0" fontId="1" fillId="34" borderId="0" xfId="0" applyFont="1" applyFill="1" applyAlignment="1">
      <alignment vertical="top"/>
    </xf>
    <xf numFmtId="0" fontId="0" fillId="34" borderId="0" xfId="0" applyFill="1"/>
    <xf numFmtId="0" fontId="1" fillId="34" borderId="0" xfId="0" applyFont="1" applyFill="1"/>
    <xf numFmtId="0" fontId="25" fillId="34" borderId="0" xfId="0" applyFont="1" applyFill="1"/>
    <xf numFmtId="167" fontId="0" fillId="0" borderId="0" xfId="0" applyNumberFormat="1"/>
    <xf numFmtId="0" fontId="28" fillId="0" borderId="0" xfId="0" applyFont="1" applyAlignment="1">
      <alignment horizontal="left" vertical="center" wrapText="1" indent="1"/>
    </xf>
    <xf numFmtId="0" fontId="0" fillId="35" borderId="0" xfId="0" applyFill="1"/>
    <xf numFmtId="0" fontId="4" fillId="0" borderId="0" xfId="3"/>
    <xf numFmtId="164" fontId="1" fillId="0" borderId="0" xfId="0" applyNumberFormat="1" applyFont="1"/>
    <xf numFmtId="0" fontId="27" fillId="0" borderId="0" xfId="0" applyFont="1"/>
    <xf numFmtId="49" fontId="0" fillId="0" borderId="0" xfId="0" applyNumberFormat="1"/>
    <xf numFmtId="2" fontId="3" fillId="2" borderId="1" xfId="1" applyNumberFormat="1"/>
    <xf numFmtId="164" fontId="3" fillId="2" borderId="1" xfId="1" applyNumberFormat="1"/>
    <xf numFmtId="0" fontId="0" fillId="34" borderId="0" xfId="0" applyFill="1" applyAlignment="1">
      <alignment vertical="top" wrapText="1"/>
    </xf>
    <xf numFmtId="0" fontId="1" fillId="34" borderId="0" xfId="0" applyFont="1" applyFill="1" applyAlignment="1">
      <alignment vertical="top" wrapText="1"/>
    </xf>
    <xf numFmtId="0" fontId="1" fillId="0" borderId="0" xfId="2" applyFont="1" applyFill="1"/>
    <xf numFmtId="1" fontId="4" fillId="0" borderId="0" xfId="3" applyNumberFormat="1"/>
    <xf numFmtId="22" fontId="0" fillId="34" borderId="0" xfId="0" applyNumberFormat="1" applyFill="1" applyAlignment="1">
      <alignment horizontal="center" vertical="top"/>
    </xf>
    <xf numFmtId="0" fontId="0" fillId="34" borderId="0" xfId="0" applyFill="1" applyAlignment="1">
      <alignment horizontal="center" vertical="top"/>
    </xf>
    <xf numFmtId="0" fontId="1" fillId="34" borderId="0" xfId="0" applyFont="1" applyFill="1" applyAlignment="1">
      <alignment horizontal="center" vertical="top"/>
    </xf>
    <xf numFmtId="0" fontId="0" fillId="34" borderId="0" xfId="0" applyFill="1" applyAlignment="1">
      <alignment horizontal="center" vertical="top" wrapText="1"/>
    </xf>
    <xf numFmtId="0" fontId="4" fillId="0" borderId="0" xfId="3"/>
    <xf numFmtId="0" fontId="4" fillId="0" borderId="0" xfId="3"/>
    <xf numFmtId="0" fontId="4" fillId="0" borderId="0" xfId="3"/>
    <xf numFmtId="0" fontId="4" fillId="0" borderId="0" xfId="3"/>
  </cellXfs>
  <cellStyles count="44">
    <cellStyle name="20% - Accent1" xfId="21" builtinId="30" customBuiltin="1"/>
    <cellStyle name="20% - Accent2" xfId="25" builtinId="34" customBuiltin="1"/>
    <cellStyle name="20% - Accent3" xfId="29" builtinId="38" customBuiltin="1"/>
    <cellStyle name="20% - Accent4" xfId="2" builtinId="42" customBuiltin="1"/>
    <cellStyle name="20% - Accent5" xfId="36" builtinId="46" customBuiltin="1"/>
    <cellStyle name="20% - Accent6" xfId="40" builtinId="50" customBuiltin="1"/>
    <cellStyle name="40% - Accent1" xfId="22" builtinId="31" customBuiltin="1"/>
    <cellStyle name="40% - Accent2" xfId="26" builtinId="35" customBuiltin="1"/>
    <cellStyle name="40% - Accent3" xfId="30" builtinId="39" customBuiltin="1"/>
    <cellStyle name="40% - Accent4" xfId="33" builtinId="43" customBuiltin="1"/>
    <cellStyle name="40% - Accent5" xfId="37" builtinId="47" customBuiltin="1"/>
    <cellStyle name="40% - Accent6" xfId="41" builtinId="51" customBuiltin="1"/>
    <cellStyle name="60% - Accent1" xfId="23" builtinId="32" customBuiltin="1"/>
    <cellStyle name="60% - Accent2" xfId="27" builtinId="36" customBuiltin="1"/>
    <cellStyle name="60% - Accent3" xfId="31" builtinId="40" customBuiltin="1"/>
    <cellStyle name="60% - Accent4" xfId="34" builtinId="44" customBuiltin="1"/>
    <cellStyle name="60% - Accent5" xfId="38" builtinId="48" customBuiltin="1"/>
    <cellStyle name="60% - Accent6" xfId="42" builtinId="52" customBuiltin="1"/>
    <cellStyle name="Accent1" xfId="20" builtinId="29" customBuiltin="1"/>
    <cellStyle name="Accent2" xfId="24" builtinId="33" customBuiltin="1"/>
    <cellStyle name="Accent3" xfId="28" builtinId="37" customBuiltin="1"/>
    <cellStyle name="Accent4" xfId="32" builtinId="41" customBuiltin="1"/>
    <cellStyle name="Accent5" xfId="35" builtinId="45" customBuiltin="1"/>
    <cellStyle name="Accent6" xfId="39" builtinId="49" customBuiltin="1"/>
    <cellStyle name="Bad" xfId="10" builtinId="27" customBuiltin="1"/>
    <cellStyle name="Calculation" xfId="13" builtinId="22" customBuiltin="1"/>
    <cellStyle name="Check Cell" xfId="15" builtinId="23" customBuiltin="1"/>
    <cellStyle name="Explanatory Text" xfId="18" builtinId="53" customBuiltin="1"/>
    <cellStyle name="Good" xfId="9" builtinId="26" customBuiltin="1"/>
    <cellStyle name="Heading 1" xfId="5" builtinId="16" customBuiltin="1"/>
    <cellStyle name="Heading 2" xfId="6" builtinId="17" customBuiltin="1"/>
    <cellStyle name="Heading 3" xfId="7" builtinId="18" customBuiltin="1"/>
    <cellStyle name="Heading 4" xfId="8" builtinId="19" customBuiltin="1"/>
    <cellStyle name="Hyperlink" xfId="43" builtinId="8"/>
    <cellStyle name="Input" xfId="1" builtinId="20" customBuiltin="1"/>
    <cellStyle name="Linked Cell" xfId="14" builtinId="24" customBuiltin="1"/>
    <cellStyle name="Neutral" xfId="11" builtinId="28" customBuiltin="1"/>
    <cellStyle name="Normal" xfId="0" builtinId="0"/>
    <cellStyle name="Normal 2" xfId="3" xr:uid="{42A3D680-7C3E-4938-B687-DDA62796E70E}"/>
    <cellStyle name="Note" xfId="17" builtinId="10" customBuiltin="1"/>
    <cellStyle name="Output" xfId="12" builtinId="21" customBuiltin="1"/>
    <cellStyle name="Title" xfId="4" builtinId="15" customBuiltin="1"/>
    <cellStyle name="Total" xfId="19" builtinId="25" customBuiltin="1"/>
    <cellStyle name="Warning Text" xfId="16" builtinId="11" customBuiltin="1"/>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nl-NL"/>
              <a:t>shipping vs pipeline costs</a:t>
            </a:r>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nl-NL"/>
        </a:p>
      </c:txPr>
    </c:title>
    <c:autoTitleDeleted val="0"/>
    <c:plotArea>
      <c:layout/>
      <c:scatterChart>
        <c:scatterStyle val="lineMarker"/>
        <c:varyColors val="0"/>
        <c:ser>
          <c:idx val="0"/>
          <c:order val="0"/>
          <c:tx>
            <c:v>Pipeline</c:v>
          </c:tx>
          <c:spPr>
            <a:ln w="25400">
              <a:no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dispRSqr val="0"/>
            <c:dispEq val="1"/>
            <c:trendlineLbl>
              <c:layout>
                <c:manualLayout>
                  <c:x val="-6.9184457425125814E-2"/>
                  <c:y val="-2.094706406502882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nl-NL"/>
                </a:p>
              </c:txPr>
            </c:trendlineLbl>
          </c:trendline>
          <c:xVal>
            <c:numRef>
              <c:f>pipeline_costs!$A$9:$A$67</c:f>
              <c:numCache>
                <c:formatCode>General</c:formatCode>
                <c:ptCount val="59"/>
                <c:pt idx="0">
                  <c:v>50</c:v>
                </c:pt>
                <c:pt idx="1">
                  <c:v>75</c:v>
                </c:pt>
                <c:pt idx="2">
                  <c:v>100</c:v>
                </c:pt>
                <c:pt idx="3">
                  <c:v>125</c:v>
                </c:pt>
                <c:pt idx="4">
                  <c:v>150</c:v>
                </c:pt>
                <c:pt idx="5">
                  <c:v>175</c:v>
                </c:pt>
                <c:pt idx="6">
                  <c:v>200</c:v>
                </c:pt>
                <c:pt idx="7">
                  <c:v>225</c:v>
                </c:pt>
                <c:pt idx="8">
                  <c:v>250</c:v>
                </c:pt>
                <c:pt idx="9">
                  <c:v>275</c:v>
                </c:pt>
                <c:pt idx="10">
                  <c:v>300</c:v>
                </c:pt>
                <c:pt idx="11">
                  <c:v>325</c:v>
                </c:pt>
                <c:pt idx="12">
                  <c:v>350</c:v>
                </c:pt>
                <c:pt idx="13">
                  <c:v>375</c:v>
                </c:pt>
                <c:pt idx="14">
                  <c:v>400</c:v>
                </c:pt>
                <c:pt idx="15">
                  <c:v>425</c:v>
                </c:pt>
                <c:pt idx="16">
                  <c:v>450</c:v>
                </c:pt>
                <c:pt idx="17">
                  <c:v>475</c:v>
                </c:pt>
                <c:pt idx="18">
                  <c:v>500</c:v>
                </c:pt>
                <c:pt idx="19">
                  <c:v>525</c:v>
                </c:pt>
                <c:pt idx="20">
                  <c:v>550</c:v>
                </c:pt>
                <c:pt idx="21">
                  <c:v>575</c:v>
                </c:pt>
                <c:pt idx="22">
                  <c:v>600</c:v>
                </c:pt>
                <c:pt idx="23">
                  <c:v>625</c:v>
                </c:pt>
                <c:pt idx="24">
                  <c:v>650</c:v>
                </c:pt>
                <c:pt idx="25">
                  <c:v>675</c:v>
                </c:pt>
                <c:pt idx="26">
                  <c:v>700</c:v>
                </c:pt>
                <c:pt idx="27">
                  <c:v>725</c:v>
                </c:pt>
                <c:pt idx="28">
                  <c:v>750</c:v>
                </c:pt>
                <c:pt idx="29">
                  <c:v>775</c:v>
                </c:pt>
                <c:pt idx="30">
                  <c:v>800</c:v>
                </c:pt>
                <c:pt idx="31">
                  <c:v>825</c:v>
                </c:pt>
                <c:pt idx="32">
                  <c:v>850</c:v>
                </c:pt>
                <c:pt idx="33">
                  <c:v>875</c:v>
                </c:pt>
                <c:pt idx="34">
                  <c:v>900</c:v>
                </c:pt>
                <c:pt idx="35">
                  <c:v>925</c:v>
                </c:pt>
                <c:pt idx="36">
                  <c:v>950</c:v>
                </c:pt>
                <c:pt idx="37">
                  <c:v>975</c:v>
                </c:pt>
                <c:pt idx="38">
                  <c:v>1000</c:v>
                </c:pt>
                <c:pt idx="39">
                  <c:v>1025</c:v>
                </c:pt>
                <c:pt idx="40">
                  <c:v>1050</c:v>
                </c:pt>
                <c:pt idx="41">
                  <c:v>1075</c:v>
                </c:pt>
                <c:pt idx="42">
                  <c:v>1100</c:v>
                </c:pt>
                <c:pt idx="43">
                  <c:v>1125</c:v>
                </c:pt>
                <c:pt idx="44">
                  <c:v>1150</c:v>
                </c:pt>
                <c:pt idx="45">
                  <c:v>1175</c:v>
                </c:pt>
                <c:pt idx="46">
                  <c:v>1200</c:v>
                </c:pt>
                <c:pt idx="47">
                  <c:v>1225</c:v>
                </c:pt>
                <c:pt idx="48">
                  <c:v>1250</c:v>
                </c:pt>
                <c:pt idx="49">
                  <c:v>1275</c:v>
                </c:pt>
                <c:pt idx="50">
                  <c:v>1300</c:v>
                </c:pt>
                <c:pt idx="51">
                  <c:v>1325</c:v>
                </c:pt>
                <c:pt idx="52">
                  <c:v>1350</c:v>
                </c:pt>
                <c:pt idx="53">
                  <c:v>1375</c:v>
                </c:pt>
                <c:pt idx="54">
                  <c:v>1400</c:v>
                </c:pt>
                <c:pt idx="55">
                  <c:v>1425</c:v>
                </c:pt>
                <c:pt idx="56">
                  <c:v>1450</c:v>
                </c:pt>
                <c:pt idx="57">
                  <c:v>1475</c:v>
                </c:pt>
                <c:pt idx="58">
                  <c:v>1500</c:v>
                </c:pt>
              </c:numCache>
            </c:numRef>
          </c:xVal>
          <c:yVal>
            <c:numRef>
              <c:f>pipeline_costs!$B$9:$B$67</c:f>
              <c:numCache>
                <c:formatCode>0.000</c:formatCode>
                <c:ptCount val="59"/>
                <c:pt idx="0">
                  <c:v>2.2155</c:v>
                </c:pt>
                <c:pt idx="1">
                  <c:v>3.3232500000000003</c:v>
                </c:pt>
                <c:pt idx="2">
                  <c:v>4.431</c:v>
                </c:pt>
                <c:pt idx="3">
                  <c:v>5.5387500000000003</c:v>
                </c:pt>
                <c:pt idx="4">
                  <c:v>6.6465000000000005</c:v>
                </c:pt>
                <c:pt idx="5">
                  <c:v>7.7542500000000008</c:v>
                </c:pt>
                <c:pt idx="6">
                  <c:v>8.8620000000000001</c:v>
                </c:pt>
                <c:pt idx="7">
                  <c:v>9.9697500000000012</c:v>
                </c:pt>
                <c:pt idx="8">
                  <c:v>11.077500000000001</c:v>
                </c:pt>
                <c:pt idx="9">
                  <c:v>12.18525</c:v>
                </c:pt>
                <c:pt idx="10">
                  <c:v>13.293000000000001</c:v>
                </c:pt>
                <c:pt idx="11">
                  <c:v>14.40075</c:v>
                </c:pt>
                <c:pt idx="12">
                  <c:v>15.508500000000002</c:v>
                </c:pt>
                <c:pt idx="13">
                  <c:v>16.616250000000001</c:v>
                </c:pt>
                <c:pt idx="14">
                  <c:v>17.724</c:v>
                </c:pt>
                <c:pt idx="15">
                  <c:v>18.83175</c:v>
                </c:pt>
                <c:pt idx="16">
                  <c:v>19.939500000000002</c:v>
                </c:pt>
                <c:pt idx="17">
                  <c:v>21.047250000000002</c:v>
                </c:pt>
                <c:pt idx="18">
                  <c:v>22.155000000000001</c:v>
                </c:pt>
                <c:pt idx="19">
                  <c:v>23.26275</c:v>
                </c:pt>
                <c:pt idx="20">
                  <c:v>24.3705</c:v>
                </c:pt>
                <c:pt idx="21">
                  <c:v>25.478250000000003</c:v>
                </c:pt>
                <c:pt idx="22">
                  <c:v>26.586000000000002</c:v>
                </c:pt>
                <c:pt idx="23">
                  <c:v>27.693750000000001</c:v>
                </c:pt>
                <c:pt idx="24">
                  <c:v>28.801500000000001</c:v>
                </c:pt>
                <c:pt idx="25">
                  <c:v>29.90925</c:v>
                </c:pt>
                <c:pt idx="26">
                  <c:v>31.017000000000003</c:v>
                </c:pt>
                <c:pt idx="27">
                  <c:v>32.124749999999999</c:v>
                </c:pt>
                <c:pt idx="28">
                  <c:v>33.232500000000002</c:v>
                </c:pt>
                <c:pt idx="29">
                  <c:v>34.340250000000005</c:v>
                </c:pt>
                <c:pt idx="30">
                  <c:v>35.448</c:v>
                </c:pt>
                <c:pt idx="31">
                  <c:v>36.555750000000003</c:v>
                </c:pt>
                <c:pt idx="32">
                  <c:v>37.663499999999999</c:v>
                </c:pt>
                <c:pt idx="33">
                  <c:v>38.771250000000002</c:v>
                </c:pt>
                <c:pt idx="34">
                  <c:v>39.879000000000005</c:v>
                </c:pt>
                <c:pt idx="35">
                  <c:v>40.986750000000001</c:v>
                </c:pt>
                <c:pt idx="36">
                  <c:v>42.094500000000004</c:v>
                </c:pt>
                <c:pt idx="37">
                  <c:v>43.202249999999999</c:v>
                </c:pt>
                <c:pt idx="38">
                  <c:v>44.31</c:v>
                </c:pt>
                <c:pt idx="39">
                  <c:v>45.417750000000005</c:v>
                </c:pt>
                <c:pt idx="40">
                  <c:v>46.525500000000001</c:v>
                </c:pt>
                <c:pt idx="41">
                  <c:v>47.633250000000004</c:v>
                </c:pt>
                <c:pt idx="42">
                  <c:v>48.741</c:v>
                </c:pt>
                <c:pt idx="43">
                  <c:v>49.848750000000003</c:v>
                </c:pt>
                <c:pt idx="44">
                  <c:v>50.956500000000005</c:v>
                </c:pt>
                <c:pt idx="45">
                  <c:v>52.064250000000001</c:v>
                </c:pt>
                <c:pt idx="46">
                  <c:v>53.172000000000004</c:v>
                </c:pt>
                <c:pt idx="47">
                  <c:v>54.27975</c:v>
                </c:pt>
                <c:pt idx="48">
                  <c:v>55.387500000000003</c:v>
                </c:pt>
                <c:pt idx="49">
                  <c:v>56.495250000000006</c:v>
                </c:pt>
                <c:pt idx="50">
                  <c:v>57.603000000000002</c:v>
                </c:pt>
                <c:pt idx="51">
                  <c:v>58.710750000000004</c:v>
                </c:pt>
                <c:pt idx="52">
                  <c:v>59.8185</c:v>
                </c:pt>
                <c:pt idx="53">
                  <c:v>60.926250000000003</c:v>
                </c:pt>
                <c:pt idx="54">
                  <c:v>62.034000000000006</c:v>
                </c:pt>
                <c:pt idx="55">
                  <c:v>63.141750000000002</c:v>
                </c:pt>
                <c:pt idx="56">
                  <c:v>64.249499999999998</c:v>
                </c:pt>
                <c:pt idx="57">
                  <c:v>65.357250000000008</c:v>
                </c:pt>
                <c:pt idx="58">
                  <c:v>66.465000000000003</c:v>
                </c:pt>
              </c:numCache>
            </c:numRef>
          </c:yVal>
          <c:smooth val="0"/>
          <c:extLst>
            <c:ext xmlns:c16="http://schemas.microsoft.com/office/drawing/2014/chart" uri="{C3380CC4-5D6E-409C-BE32-E72D297353CC}">
              <c16:uniqueId val="{00000001-C4C5-4BA1-9EB9-DB2AE9E66AF0}"/>
            </c:ext>
          </c:extLst>
        </c:ser>
        <c:ser>
          <c:idx val="1"/>
          <c:order val="1"/>
          <c:tx>
            <c:v>Shipping</c:v>
          </c:tx>
          <c:spPr>
            <a:ln w="25400">
              <a:noFill/>
            </a:ln>
            <a:effectLst/>
          </c:spPr>
          <c:marker>
            <c:symbol val="circle"/>
            <c:size val="4"/>
            <c:spPr>
              <a:solidFill>
                <a:schemeClr val="accent2"/>
              </a:solidFill>
              <a:ln w="9525" cap="flat" cmpd="sng" algn="ctr">
                <a:solidFill>
                  <a:schemeClr val="accent2"/>
                </a:solidFill>
                <a:round/>
              </a:ln>
              <a:effectLst/>
            </c:spPr>
          </c:marker>
          <c:trendline>
            <c:spPr>
              <a:ln w="63500" cap="rnd" cmpd="sng" algn="ctr">
                <a:solidFill>
                  <a:schemeClr val="accent1">
                    <a:alpha val="25000"/>
                  </a:schemeClr>
                </a:solidFill>
                <a:round/>
              </a:ln>
              <a:effectLst/>
            </c:spPr>
            <c:trendlineType val="linear"/>
            <c:dispRSqr val="0"/>
            <c:dispEq val="1"/>
            <c:trendlineLbl>
              <c:layout>
                <c:manualLayout>
                  <c:x val="5.5923325337282177E-2"/>
                  <c:y val="8.334454728955646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nl-NL"/>
                </a:p>
              </c:txPr>
            </c:trendlineLbl>
          </c:trendline>
          <c:xVal>
            <c:numRef>
              <c:f>shipping_costs!$B$23:$B$81</c:f>
              <c:numCache>
                <c:formatCode>General</c:formatCode>
                <c:ptCount val="59"/>
                <c:pt idx="0">
                  <c:v>50</c:v>
                </c:pt>
                <c:pt idx="1">
                  <c:v>75</c:v>
                </c:pt>
                <c:pt idx="2">
                  <c:v>100</c:v>
                </c:pt>
                <c:pt idx="3">
                  <c:v>125</c:v>
                </c:pt>
                <c:pt idx="4">
                  <c:v>150</c:v>
                </c:pt>
                <c:pt idx="5">
                  <c:v>175</c:v>
                </c:pt>
                <c:pt idx="6">
                  <c:v>200</c:v>
                </c:pt>
                <c:pt idx="7">
                  <c:v>225</c:v>
                </c:pt>
                <c:pt idx="8">
                  <c:v>250</c:v>
                </c:pt>
                <c:pt idx="9">
                  <c:v>275</c:v>
                </c:pt>
                <c:pt idx="10">
                  <c:v>300</c:v>
                </c:pt>
                <c:pt idx="11">
                  <c:v>325</c:v>
                </c:pt>
                <c:pt idx="12">
                  <c:v>350</c:v>
                </c:pt>
                <c:pt idx="13">
                  <c:v>375</c:v>
                </c:pt>
                <c:pt idx="14">
                  <c:v>400</c:v>
                </c:pt>
                <c:pt idx="15">
                  <c:v>425</c:v>
                </c:pt>
                <c:pt idx="16">
                  <c:v>450</c:v>
                </c:pt>
                <c:pt idx="17">
                  <c:v>475</c:v>
                </c:pt>
                <c:pt idx="18">
                  <c:v>500</c:v>
                </c:pt>
                <c:pt idx="19">
                  <c:v>525</c:v>
                </c:pt>
                <c:pt idx="20">
                  <c:v>550</c:v>
                </c:pt>
                <c:pt idx="21">
                  <c:v>575</c:v>
                </c:pt>
                <c:pt idx="22">
                  <c:v>600</c:v>
                </c:pt>
                <c:pt idx="23">
                  <c:v>625</c:v>
                </c:pt>
                <c:pt idx="24">
                  <c:v>650</c:v>
                </c:pt>
                <c:pt idx="25">
                  <c:v>675</c:v>
                </c:pt>
                <c:pt idx="26">
                  <c:v>700</c:v>
                </c:pt>
                <c:pt idx="27">
                  <c:v>725</c:v>
                </c:pt>
                <c:pt idx="28">
                  <c:v>750</c:v>
                </c:pt>
                <c:pt idx="29">
                  <c:v>775</c:v>
                </c:pt>
                <c:pt idx="30">
                  <c:v>800</c:v>
                </c:pt>
                <c:pt idx="31">
                  <c:v>825</c:v>
                </c:pt>
                <c:pt idx="32">
                  <c:v>850</c:v>
                </c:pt>
                <c:pt idx="33">
                  <c:v>875</c:v>
                </c:pt>
                <c:pt idx="34">
                  <c:v>900</c:v>
                </c:pt>
                <c:pt idx="35">
                  <c:v>925</c:v>
                </c:pt>
                <c:pt idx="36">
                  <c:v>950</c:v>
                </c:pt>
                <c:pt idx="37">
                  <c:v>975</c:v>
                </c:pt>
                <c:pt idx="38">
                  <c:v>1000</c:v>
                </c:pt>
                <c:pt idx="39">
                  <c:v>1025</c:v>
                </c:pt>
                <c:pt idx="40">
                  <c:v>1050</c:v>
                </c:pt>
                <c:pt idx="41">
                  <c:v>1075</c:v>
                </c:pt>
                <c:pt idx="42">
                  <c:v>1100</c:v>
                </c:pt>
                <c:pt idx="43">
                  <c:v>1125</c:v>
                </c:pt>
                <c:pt idx="44">
                  <c:v>1150</c:v>
                </c:pt>
                <c:pt idx="45">
                  <c:v>1175</c:v>
                </c:pt>
                <c:pt idx="46">
                  <c:v>1200</c:v>
                </c:pt>
                <c:pt idx="47">
                  <c:v>1225</c:v>
                </c:pt>
                <c:pt idx="48">
                  <c:v>1250</c:v>
                </c:pt>
                <c:pt idx="49">
                  <c:v>1275</c:v>
                </c:pt>
                <c:pt idx="50">
                  <c:v>1300</c:v>
                </c:pt>
                <c:pt idx="51">
                  <c:v>1325</c:v>
                </c:pt>
                <c:pt idx="52">
                  <c:v>1350</c:v>
                </c:pt>
                <c:pt idx="53">
                  <c:v>1375</c:v>
                </c:pt>
                <c:pt idx="54">
                  <c:v>1400</c:v>
                </c:pt>
                <c:pt idx="55">
                  <c:v>1425</c:v>
                </c:pt>
                <c:pt idx="56">
                  <c:v>1450</c:v>
                </c:pt>
                <c:pt idx="57">
                  <c:v>1475</c:v>
                </c:pt>
                <c:pt idx="58">
                  <c:v>1500</c:v>
                </c:pt>
              </c:numCache>
            </c:numRef>
          </c:xVal>
          <c:yVal>
            <c:numRef>
              <c:f>shipping_costs!$C$23:$C$81</c:f>
              <c:numCache>
                <c:formatCode>General</c:formatCode>
                <c:ptCount val="59"/>
                <c:pt idx="0">
                  <c:v>28.172000000000001</c:v>
                </c:pt>
                <c:pt idx="1">
                  <c:v>28.481999999999999</c:v>
                </c:pt>
                <c:pt idx="2">
                  <c:v>28.791999999999998</c:v>
                </c:pt>
                <c:pt idx="3">
                  <c:v>29.102</c:v>
                </c:pt>
                <c:pt idx="4">
                  <c:v>29.411999999999999</c:v>
                </c:pt>
                <c:pt idx="5">
                  <c:v>29.722000000000001</c:v>
                </c:pt>
                <c:pt idx="6">
                  <c:v>30.032</c:v>
                </c:pt>
                <c:pt idx="7">
                  <c:v>30.341999999999999</c:v>
                </c:pt>
                <c:pt idx="8">
                  <c:v>30.652000000000001</c:v>
                </c:pt>
                <c:pt idx="9">
                  <c:v>30.962</c:v>
                </c:pt>
                <c:pt idx="10">
                  <c:v>31.271999999999998</c:v>
                </c:pt>
                <c:pt idx="11">
                  <c:v>31.582000000000001</c:v>
                </c:pt>
                <c:pt idx="12">
                  <c:v>31.891999999999999</c:v>
                </c:pt>
                <c:pt idx="13">
                  <c:v>32.201999999999998</c:v>
                </c:pt>
                <c:pt idx="14">
                  <c:v>32.512</c:v>
                </c:pt>
                <c:pt idx="15">
                  <c:v>32.822000000000003</c:v>
                </c:pt>
                <c:pt idx="16">
                  <c:v>33.131999999999998</c:v>
                </c:pt>
                <c:pt idx="17">
                  <c:v>33.442</c:v>
                </c:pt>
                <c:pt idx="18">
                  <c:v>33.752000000000002</c:v>
                </c:pt>
                <c:pt idx="19">
                  <c:v>34.061999999999998</c:v>
                </c:pt>
                <c:pt idx="20">
                  <c:v>34.372</c:v>
                </c:pt>
                <c:pt idx="21">
                  <c:v>34.682000000000002</c:v>
                </c:pt>
                <c:pt idx="22">
                  <c:v>34.991999999999997</c:v>
                </c:pt>
                <c:pt idx="23">
                  <c:v>35.302</c:v>
                </c:pt>
                <c:pt idx="24">
                  <c:v>35.612000000000002</c:v>
                </c:pt>
                <c:pt idx="25">
                  <c:v>35.921999999999997</c:v>
                </c:pt>
                <c:pt idx="26">
                  <c:v>36.231999999999999</c:v>
                </c:pt>
                <c:pt idx="27">
                  <c:v>36.542000000000002</c:v>
                </c:pt>
                <c:pt idx="28">
                  <c:v>36.851999999999997</c:v>
                </c:pt>
                <c:pt idx="29">
                  <c:v>37.161999999999999</c:v>
                </c:pt>
                <c:pt idx="30">
                  <c:v>37.472000000000001</c:v>
                </c:pt>
                <c:pt idx="31">
                  <c:v>37.781999999999996</c:v>
                </c:pt>
                <c:pt idx="32">
                  <c:v>38.091999999999999</c:v>
                </c:pt>
                <c:pt idx="33">
                  <c:v>38.402000000000001</c:v>
                </c:pt>
                <c:pt idx="34">
                  <c:v>38.712000000000003</c:v>
                </c:pt>
                <c:pt idx="35">
                  <c:v>39.021999999999998</c:v>
                </c:pt>
                <c:pt idx="36">
                  <c:v>39.332000000000001</c:v>
                </c:pt>
                <c:pt idx="37">
                  <c:v>39.641999999999996</c:v>
                </c:pt>
                <c:pt idx="38">
                  <c:v>39.951999999999998</c:v>
                </c:pt>
                <c:pt idx="39">
                  <c:v>40.262</c:v>
                </c:pt>
                <c:pt idx="40">
                  <c:v>40.572000000000003</c:v>
                </c:pt>
                <c:pt idx="41">
                  <c:v>40.881999999999998</c:v>
                </c:pt>
                <c:pt idx="42">
                  <c:v>41.192</c:v>
                </c:pt>
                <c:pt idx="43">
                  <c:v>41.501999999999995</c:v>
                </c:pt>
                <c:pt idx="44">
                  <c:v>41.811999999999998</c:v>
                </c:pt>
                <c:pt idx="45">
                  <c:v>42.122</c:v>
                </c:pt>
                <c:pt idx="46">
                  <c:v>42.432000000000002</c:v>
                </c:pt>
                <c:pt idx="47">
                  <c:v>42.741999999999997</c:v>
                </c:pt>
                <c:pt idx="48">
                  <c:v>43.052</c:v>
                </c:pt>
                <c:pt idx="49">
                  <c:v>43.361999999999995</c:v>
                </c:pt>
                <c:pt idx="50">
                  <c:v>43.671999999999997</c:v>
                </c:pt>
                <c:pt idx="51">
                  <c:v>43.981999999999999</c:v>
                </c:pt>
                <c:pt idx="52">
                  <c:v>44.292000000000002</c:v>
                </c:pt>
                <c:pt idx="53">
                  <c:v>44.602000000000004</c:v>
                </c:pt>
                <c:pt idx="54">
                  <c:v>44.911999999999999</c:v>
                </c:pt>
                <c:pt idx="55">
                  <c:v>45.221999999999994</c:v>
                </c:pt>
                <c:pt idx="56">
                  <c:v>45.531999999999996</c:v>
                </c:pt>
                <c:pt idx="57">
                  <c:v>45.841999999999999</c:v>
                </c:pt>
                <c:pt idx="58">
                  <c:v>46.152000000000001</c:v>
                </c:pt>
              </c:numCache>
            </c:numRef>
          </c:yVal>
          <c:smooth val="0"/>
          <c:extLst>
            <c:ext xmlns:c16="http://schemas.microsoft.com/office/drawing/2014/chart" uri="{C3380CC4-5D6E-409C-BE32-E72D297353CC}">
              <c16:uniqueId val="{00000002-C4C5-4BA1-9EB9-DB2AE9E66AF0}"/>
            </c:ext>
          </c:extLst>
        </c:ser>
        <c:dLbls>
          <c:showLegendKey val="0"/>
          <c:showVal val="0"/>
          <c:showCatName val="0"/>
          <c:showSerName val="0"/>
          <c:showPercent val="0"/>
          <c:showBubbleSize val="0"/>
        </c:dLbls>
        <c:axId val="1214252527"/>
        <c:axId val="1214253967"/>
      </c:scatterChart>
      <c:valAx>
        <c:axId val="1214252527"/>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nl-NL"/>
                  <a:t>distance [km]</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nl-NL"/>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nl-NL"/>
          </a:p>
        </c:txPr>
        <c:crossAx val="1214253967"/>
        <c:crosses val="autoZero"/>
        <c:crossBetween val="midCat"/>
      </c:valAx>
      <c:valAx>
        <c:axId val="1214253967"/>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nl-NL"/>
                  <a:t>[euro/ton]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nl-NL"/>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nl-NL"/>
          </a:p>
        </c:txPr>
        <c:crossAx val="12142525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nl-NL"/>
              <a:t>shipping costs</a:t>
            </a:r>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nl-NL"/>
        </a:p>
      </c:txPr>
    </c:title>
    <c:autoTitleDeleted val="0"/>
    <c:plotArea>
      <c:layout/>
      <c:scatterChart>
        <c:scatterStyle val="lineMarker"/>
        <c:varyColors val="0"/>
        <c:ser>
          <c:idx val="0"/>
          <c:order val="0"/>
          <c:spPr>
            <a:ln w="25400">
              <a:no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nl-NL"/>
                </a:p>
              </c:txPr>
            </c:trendlineLbl>
          </c:trendline>
          <c:xVal>
            <c:numRef>
              <c:f>shipping_costs!$B$10:$B$13</c:f>
              <c:numCache>
                <c:formatCode>General</c:formatCode>
                <c:ptCount val="4"/>
                <c:pt idx="0">
                  <c:v>500</c:v>
                </c:pt>
                <c:pt idx="1">
                  <c:v>1000</c:v>
                </c:pt>
                <c:pt idx="2">
                  <c:v>1500</c:v>
                </c:pt>
                <c:pt idx="3">
                  <c:v>2000</c:v>
                </c:pt>
              </c:numCache>
            </c:numRef>
          </c:xVal>
          <c:yVal>
            <c:numRef>
              <c:f>shipping_costs!$I$10:$I$13</c:f>
              <c:numCache>
                <c:formatCode>0.0</c:formatCode>
                <c:ptCount val="4"/>
                <c:pt idx="0">
                  <c:v>33.764220000000002</c:v>
                </c:pt>
                <c:pt idx="1">
                  <c:v>39.97648199999999</c:v>
                </c:pt>
                <c:pt idx="2">
                  <c:v>46.188743999999993</c:v>
                </c:pt>
                <c:pt idx="3">
                  <c:v>52.401006000000002</c:v>
                </c:pt>
              </c:numCache>
            </c:numRef>
          </c:yVal>
          <c:smooth val="0"/>
          <c:extLst>
            <c:ext xmlns:c16="http://schemas.microsoft.com/office/drawing/2014/chart" uri="{C3380CC4-5D6E-409C-BE32-E72D297353CC}">
              <c16:uniqueId val="{00000000-FC52-4AD7-8FFC-C926A1A6CD10}"/>
            </c:ext>
          </c:extLst>
        </c:ser>
        <c:dLbls>
          <c:showLegendKey val="0"/>
          <c:showVal val="0"/>
          <c:showCatName val="0"/>
          <c:showSerName val="0"/>
          <c:showPercent val="0"/>
          <c:showBubbleSize val="0"/>
        </c:dLbls>
        <c:axId val="1214252527"/>
        <c:axId val="1214253967"/>
      </c:scatterChart>
      <c:valAx>
        <c:axId val="121425252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nl-NL"/>
          </a:p>
        </c:txPr>
        <c:crossAx val="1214253967"/>
        <c:crosses val="autoZero"/>
        <c:crossBetween val="midCat"/>
      </c:valAx>
      <c:valAx>
        <c:axId val="1214253967"/>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nl-NL"/>
          </a:p>
        </c:txPr>
        <c:crossAx val="121425252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6</xdr:col>
      <xdr:colOff>552263</xdr:colOff>
      <xdr:row>23</xdr:row>
      <xdr:rowOff>171263</xdr:rowOff>
    </xdr:from>
    <xdr:to>
      <xdr:col>14</xdr:col>
      <xdr:colOff>422087</xdr:colOff>
      <xdr:row>37</xdr:row>
      <xdr:rowOff>70970</xdr:rowOff>
    </xdr:to>
    <xdr:graphicFrame macro="">
      <xdr:nvGraphicFramePr>
        <xdr:cNvPr id="4" name="Chart 3">
          <a:extLst>
            <a:ext uri="{FF2B5EF4-FFF2-40B4-BE49-F238E27FC236}">
              <a16:creationId xmlns:a16="http://schemas.microsoft.com/office/drawing/2014/main" id="{CCB3A708-0957-40F5-98A3-5C8B95A91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467446</xdr:colOff>
      <xdr:row>21</xdr:row>
      <xdr:rowOff>167511</xdr:rowOff>
    </xdr:from>
    <xdr:to>
      <xdr:col>31</xdr:col>
      <xdr:colOff>232123</xdr:colOff>
      <xdr:row>40</xdr:row>
      <xdr:rowOff>52383</xdr:rowOff>
    </xdr:to>
    <xdr:pic>
      <xdr:nvPicPr>
        <xdr:cNvPr id="3" name="Picture 2">
          <a:extLst>
            <a:ext uri="{FF2B5EF4-FFF2-40B4-BE49-F238E27FC236}">
              <a16:creationId xmlns:a16="http://schemas.microsoft.com/office/drawing/2014/main" id="{D43E6F65-B530-7F87-7AB5-397533C99F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204232" y="7066332"/>
          <a:ext cx="4050927" cy="35011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336350</xdr:colOff>
      <xdr:row>3</xdr:row>
      <xdr:rowOff>123265</xdr:rowOff>
    </xdr:from>
    <xdr:to>
      <xdr:col>22</xdr:col>
      <xdr:colOff>248770</xdr:colOff>
      <xdr:row>18</xdr:row>
      <xdr:rowOff>403411</xdr:rowOff>
    </xdr:to>
    <xdr:pic>
      <xdr:nvPicPr>
        <xdr:cNvPr id="7" name="Picture 6">
          <a:extLst>
            <a:ext uri="{FF2B5EF4-FFF2-40B4-BE49-F238E27FC236}">
              <a16:creationId xmlns:a16="http://schemas.microsoft.com/office/drawing/2014/main" id="{BB270791-23A2-746C-0383-895DCF1B9EC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474997" y="694765"/>
          <a:ext cx="4148244" cy="35522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156883</xdr:colOff>
      <xdr:row>22</xdr:row>
      <xdr:rowOff>80844</xdr:rowOff>
    </xdr:from>
    <xdr:to>
      <xdr:col>22</xdr:col>
      <xdr:colOff>130358</xdr:colOff>
      <xdr:row>39</xdr:row>
      <xdr:rowOff>16785</xdr:rowOff>
    </xdr:to>
    <xdr:pic>
      <xdr:nvPicPr>
        <xdr:cNvPr id="11" name="Picture 10">
          <a:extLst>
            <a:ext uri="{FF2B5EF4-FFF2-40B4-BE49-F238E27FC236}">
              <a16:creationId xmlns:a16="http://schemas.microsoft.com/office/drawing/2014/main" id="{2EB3F6DE-ACE8-1794-928A-9066D926D35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382776" y="7170165"/>
          <a:ext cx="4256550" cy="31712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25460</xdr:colOff>
      <xdr:row>3</xdr:row>
      <xdr:rowOff>100853</xdr:rowOff>
    </xdr:from>
    <xdr:to>
      <xdr:col>30</xdr:col>
      <xdr:colOff>162326</xdr:colOff>
      <xdr:row>18</xdr:row>
      <xdr:rowOff>212910</xdr:rowOff>
    </xdr:to>
    <xdr:pic>
      <xdr:nvPicPr>
        <xdr:cNvPr id="12" name="Picture 11">
          <a:extLst>
            <a:ext uri="{FF2B5EF4-FFF2-40B4-BE49-F238E27FC236}">
              <a16:creationId xmlns:a16="http://schemas.microsoft.com/office/drawing/2014/main" id="{FCA2F3B6-1D88-84AD-639F-AA108299300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005048" y="672353"/>
          <a:ext cx="4369515" cy="3384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589909</xdr:colOff>
      <xdr:row>11</xdr:row>
      <xdr:rowOff>41622</xdr:rowOff>
    </xdr:from>
    <xdr:to>
      <xdr:col>23</xdr:col>
      <xdr:colOff>276145</xdr:colOff>
      <xdr:row>15</xdr:row>
      <xdr:rowOff>75239</xdr:rowOff>
    </xdr:to>
    <xdr:sp macro="" textlink="">
      <xdr:nvSpPr>
        <xdr:cNvPr id="9" name="Arrow: Right 8">
          <a:extLst>
            <a:ext uri="{FF2B5EF4-FFF2-40B4-BE49-F238E27FC236}">
              <a16:creationId xmlns:a16="http://schemas.microsoft.com/office/drawing/2014/main" id="{3B75B8EF-C598-9A4B-DC42-DB6C008F667C}"/>
            </a:ext>
          </a:extLst>
        </xdr:cNvPr>
        <xdr:cNvSpPr/>
      </xdr:nvSpPr>
      <xdr:spPr>
        <a:xfrm>
          <a:off x="15489730" y="2137122"/>
          <a:ext cx="910879" cy="79561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l-NL" sz="1100"/>
        </a:p>
      </xdr:txBody>
    </xdr:sp>
    <xdr:clientData/>
  </xdr:twoCellAnchor>
  <xdr:twoCellAnchor editAs="oneCell">
    <xdr:from>
      <xdr:col>20</xdr:col>
      <xdr:colOff>291354</xdr:colOff>
      <xdr:row>18</xdr:row>
      <xdr:rowOff>380999</xdr:rowOff>
    </xdr:from>
    <xdr:to>
      <xdr:col>26</xdr:col>
      <xdr:colOff>202641</xdr:colOff>
      <xdr:row>20</xdr:row>
      <xdr:rowOff>340978</xdr:rowOff>
    </xdr:to>
    <xdr:pic>
      <xdr:nvPicPr>
        <xdr:cNvPr id="13" name="Picture 12">
          <a:extLst>
            <a:ext uri="{FF2B5EF4-FFF2-40B4-BE49-F238E27FC236}">
              <a16:creationId xmlns:a16="http://schemas.microsoft.com/office/drawing/2014/main" id="{DF921779-A031-B1B0-6D41-6B557A622A5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455589" y="3843617"/>
          <a:ext cx="3538818" cy="266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397782</xdr:colOff>
      <xdr:row>17</xdr:row>
      <xdr:rowOff>99786</xdr:rowOff>
    </xdr:from>
    <xdr:to>
      <xdr:col>8</xdr:col>
      <xdr:colOff>1186996</xdr:colOff>
      <xdr:row>31</xdr:row>
      <xdr:rowOff>175986</xdr:rowOff>
    </xdr:to>
    <xdr:graphicFrame macro="">
      <xdr:nvGraphicFramePr>
        <xdr:cNvPr id="8" name="Chart 7">
          <a:extLst>
            <a:ext uri="{FF2B5EF4-FFF2-40B4-BE49-F238E27FC236}">
              <a16:creationId xmlns:a16="http://schemas.microsoft.com/office/drawing/2014/main" id="{5EA9C59F-8159-4E5F-668E-AC920CB37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33618</xdr:colOff>
      <xdr:row>3</xdr:row>
      <xdr:rowOff>168088</xdr:rowOff>
    </xdr:from>
    <xdr:to>
      <xdr:col>9</xdr:col>
      <xdr:colOff>192181</xdr:colOff>
      <xdr:row>26</xdr:row>
      <xdr:rowOff>149038</xdr:rowOff>
    </xdr:to>
    <xdr:pic>
      <xdr:nvPicPr>
        <xdr:cNvPr id="3" name="Picture 2">
          <a:extLst>
            <a:ext uri="{FF2B5EF4-FFF2-40B4-BE49-F238E27FC236}">
              <a16:creationId xmlns:a16="http://schemas.microsoft.com/office/drawing/2014/main" id="{E168BF46-D7EE-05EB-463E-B783BCADAC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618" y="739588"/>
          <a:ext cx="6837269" cy="436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528411</xdr:colOff>
      <xdr:row>2</xdr:row>
      <xdr:rowOff>31749</xdr:rowOff>
    </xdr:from>
    <xdr:to>
      <xdr:col>16</xdr:col>
      <xdr:colOff>99787</xdr:colOff>
      <xdr:row>24</xdr:row>
      <xdr:rowOff>131110</xdr:rowOff>
    </xdr:to>
    <xdr:pic>
      <xdr:nvPicPr>
        <xdr:cNvPr id="2" name="Picture 1">
          <a:extLst>
            <a:ext uri="{FF2B5EF4-FFF2-40B4-BE49-F238E27FC236}">
              <a16:creationId xmlns:a16="http://schemas.microsoft.com/office/drawing/2014/main" id="{42B439B0-690F-C003-F674-0F33F29051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67340" y="412749"/>
          <a:ext cx="6257018" cy="42808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Hout, van Marit" id="{CB97B868-0ABC-4487-AFBC-31A032FC1CBB}" userId="S::houtvm@pbl.nl::95a4d3a1-bdf2-406b-927f-5ccae009332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34" dT="2026-09-15T14:30:03.32" personId="{CB97B868-0ABC-4487-AFBC-31A032FC1CBB}" id="{48CD6ECB-4AAB-4EF9-AF52-48486A19C8E9}">
    <text>https://www.exchange-rates.org/exchange-rate-history/usd-eur-2025</text>
    <extLst>
      <x:ext xmlns:xltc2="http://schemas.microsoft.com/office/spreadsheetml/2020/threadedcomments2" uri="{F7C98A9C-CBB3-438F-8F68-D28B6AF4A901}">
        <xltc2:checksum>1165563087</xltc2:checksum>
        <xltc2:hyperlink startIndex="0" length="65" url="https://www.exchange-rates.org/exchange-rate-history/usd-eur-2025"/>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8" Type="http://schemas.openxmlformats.org/officeDocument/2006/relationships/hyperlink" Target="https://www.portofrotterdam.com/nl/haven-van-de-toekomst/energietransitie/lopende-projecten/opslag-en-gebruik-van-co2" TargetMode="External"/><Relationship Id="rId13" Type="http://schemas.openxmlformats.org/officeDocument/2006/relationships/hyperlink" Target="https://www.seaseas.nl/amsterdam-project" TargetMode="External"/><Relationship Id="rId3" Type="http://schemas.openxmlformats.org/officeDocument/2006/relationships/hyperlink" Target="https://www.energean.com/operations/greece/prinos-co2/" TargetMode="External"/><Relationship Id="rId7" Type="http://schemas.openxmlformats.org/officeDocument/2006/relationships/hyperlink" Target="https://hynethub.co.uk/" TargetMode="External"/><Relationship Id="rId12" Type="http://schemas.openxmlformats.org/officeDocument/2006/relationships/hyperlink" Target="https://carbonstorage.io/facilities/h2m-eemshaven" TargetMode="External"/><Relationship Id="rId2" Type="http://schemas.openxmlformats.org/officeDocument/2006/relationships/hyperlink" Target="https://www.portdebarcelona.cat/en/communication/news/port-barcelonas-energy-transition-plan-will-enable-85-reduction-co2-emissions-2040" TargetMode="External"/><Relationship Id="rId16" Type="http://schemas.openxmlformats.org/officeDocument/2006/relationships/hyperlink" Target="https://www.fluxys.com/nl/projects/co2-hub-in-zeebrugge" TargetMode="External"/><Relationship Id="rId1" Type="http://schemas.openxmlformats.org/officeDocument/2006/relationships/hyperlink" Target="https://ravennaccs.com/en-IT/project/ravenna-hub" TargetMode="External"/><Relationship Id="rId6" Type="http://schemas.openxmlformats.org/officeDocument/2006/relationships/hyperlink" Target="https://ukccsrc.ac.uk/wp-content/uploads/2023/05/MDE1234-BEC-04-DX-RP-Z-RP0005-Liquid-CO2-Storage-Study-Dublin.pdf" TargetMode="External"/><Relationship Id="rId11" Type="http://schemas.openxmlformats.org/officeDocument/2006/relationships/hyperlink" Target="https://www.hafen-hamburg.de/en/port-of-hamburg-magazine/all-purpose-port/logistik-hub-fuer-co2/" TargetMode="External"/><Relationship Id="rId5" Type="http://schemas.openxmlformats.org/officeDocument/2006/relationships/hyperlink" Target="https://eastcoastcluster.co.uk/" TargetMode="External"/><Relationship Id="rId15" Type="http://schemas.openxmlformats.org/officeDocument/2006/relationships/hyperlink" Target="https://www.entsog.eu/ghent-carbon-hub" TargetMode="External"/><Relationship Id="rId10" Type="http://schemas.openxmlformats.org/officeDocument/2006/relationships/hyperlink" Target="https://www.equinor.com/energy/northern-lights" TargetMode="External"/><Relationship Id="rId4" Type="http://schemas.openxmlformats.org/officeDocument/2006/relationships/hyperlink" Target="https://ccs-baltic.eu/2026/09/04/klaipedas-co%E2%82%82-terminal-recognised-as-part-of-the-energy-system/" TargetMode="External"/><Relationship Id="rId9" Type="http://schemas.openxmlformats.org/officeDocument/2006/relationships/hyperlink" Target="https://www.equinor.com/energy/snohvit" TargetMode="External"/><Relationship Id="rId14" Type="http://schemas.openxmlformats.org/officeDocument/2006/relationships/hyperlink" Target="https://www.fluxys.com/en/projects/antwerpatc-co2-export-hub"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38665-6074-4303-8543-BD372E0B9444}">
  <sheetPr>
    <tabColor theme="0"/>
  </sheetPr>
  <dimension ref="A1:K35"/>
  <sheetViews>
    <sheetView zoomScale="70" zoomScaleNormal="70" workbookViewId="0">
      <selection activeCell="N19" sqref="N19"/>
    </sheetView>
  </sheetViews>
  <sheetFormatPr defaultRowHeight="15" x14ac:dyDescent="0.25"/>
  <cols>
    <col min="1" max="1" width="34.5703125" style="21" bestFit="1" customWidth="1"/>
    <col min="2" max="2" width="14.42578125" style="21" bestFit="1" customWidth="1"/>
    <col min="3" max="16384" width="9.140625" style="21"/>
  </cols>
  <sheetData>
    <row r="1" spans="1:11" x14ac:dyDescent="0.25">
      <c r="A1" s="20" t="s">
        <v>191</v>
      </c>
      <c r="B1" s="37">
        <v>46272.415847916665</v>
      </c>
      <c r="C1" s="37"/>
      <c r="D1" s="37"/>
      <c r="E1" s="37"/>
      <c r="F1" s="37"/>
      <c r="G1" s="37"/>
      <c r="H1" s="37"/>
      <c r="I1" s="37"/>
      <c r="J1" s="37"/>
      <c r="K1" s="37"/>
    </row>
    <row r="2" spans="1:11" x14ac:dyDescent="0.25">
      <c r="A2" s="20" t="s">
        <v>161</v>
      </c>
      <c r="B2" s="37" t="s">
        <v>192</v>
      </c>
      <c r="C2" s="37"/>
      <c r="D2" s="37"/>
      <c r="E2" s="37"/>
      <c r="F2" s="37"/>
      <c r="G2" s="37"/>
      <c r="H2" s="37"/>
      <c r="I2" s="37"/>
      <c r="J2" s="37"/>
      <c r="K2" s="37"/>
    </row>
    <row r="3" spans="1:11" x14ac:dyDescent="0.25">
      <c r="A3" s="20" t="s">
        <v>193</v>
      </c>
      <c r="B3" s="38" t="s">
        <v>194</v>
      </c>
      <c r="C3" s="38"/>
      <c r="D3" s="38"/>
      <c r="E3" s="38"/>
      <c r="F3" s="38"/>
      <c r="G3" s="38"/>
      <c r="H3" s="38"/>
      <c r="I3" s="38"/>
      <c r="J3" s="38"/>
      <c r="K3" s="38"/>
    </row>
    <row r="4" spans="1:11" x14ac:dyDescent="0.25">
      <c r="A4" s="20" t="s">
        <v>195</v>
      </c>
      <c r="B4" s="38" t="s">
        <v>196</v>
      </c>
      <c r="C4" s="38"/>
      <c r="D4" s="38"/>
      <c r="E4" s="38"/>
      <c r="F4" s="38"/>
      <c r="G4" s="38"/>
      <c r="H4" s="38"/>
      <c r="I4" s="38"/>
      <c r="J4" s="38"/>
      <c r="K4" s="38"/>
    </row>
    <row r="5" spans="1:11" ht="15" customHeight="1" x14ac:dyDescent="0.25">
      <c r="A5" s="39" t="s">
        <v>197</v>
      </c>
      <c r="B5" s="40" t="s">
        <v>257</v>
      </c>
      <c r="C5" s="40"/>
      <c r="D5" s="40"/>
      <c r="E5" s="40"/>
      <c r="F5" s="40"/>
      <c r="G5" s="40"/>
      <c r="H5" s="40"/>
      <c r="I5" s="40"/>
      <c r="J5" s="40"/>
      <c r="K5" s="40"/>
    </row>
    <row r="6" spans="1:11" x14ac:dyDescent="0.25">
      <c r="A6" s="39"/>
      <c r="B6" s="40"/>
      <c r="C6" s="40"/>
      <c r="D6" s="40"/>
      <c r="E6" s="40"/>
      <c r="F6" s="40"/>
      <c r="G6" s="40"/>
      <c r="H6" s="40"/>
      <c r="I6" s="40"/>
      <c r="J6" s="40"/>
      <c r="K6" s="40"/>
    </row>
    <row r="7" spans="1:11" x14ac:dyDescent="0.25">
      <c r="A7" s="39"/>
      <c r="B7" s="40"/>
      <c r="C7" s="40"/>
      <c r="D7" s="40"/>
      <c r="E7" s="40"/>
      <c r="F7" s="40"/>
      <c r="G7" s="40"/>
      <c r="H7" s="40"/>
      <c r="I7" s="40"/>
      <c r="J7" s="40"/>
      <c r="K7" s="40"/>
    </row>
    <row r="8" spans="1:11" x14ac:dyDescent="0.25">
      <c r="A8" s="39"/>
      <c r="B8" s="40"/>
      <c r="C8" s="40"/>
      <c r="D8" s="40"/>
      <c r="E8" s="40"/>
      <c r="F8" s="40"/>
      <c r="G8" s="40"/>
      <c r="H8" s="40"/>
      <c r="I8" s="40"/>
      <c r="J8" s="40"/>
      <c r="K8" s="40"/>
    </row>
    <row r="9" spans="1:11" x14ac:dyDescent="0.25">
      <c r="A9" s="39"/>
      <c r="B9" s="40"/>
      <c r="C9" s="40"/>
      <c r="D9" s="40"/>
      <c r="E9" s="40"/>
      <c r="F9" s="40"/>
      <c r="G9" s="40"/>
      <c r="H9" s="40"/>
      <c r="I9" s="40"/>
      <c r="J9" s="40"/>
      <c r="K9" s="40"/>
    </row>
    <row r="10" spans="1:11" x14ac:dyDescent="0.25">
      <c r="A10" s="39"/>
      <c r="B10" s="40"/>
      <c r="C10" s="40"/>
      <c r="D10" s="40"/>
      <c r="E10" s="40"/>
      <c r="F10" s="40"/>
      <c r="G10" s="40"/>
      <c r="H10" s="40"/>
      <c r="I10" s="40"/>
      <c r="J10" s="40"/>
      <c r="K10" s="40"/>
    </row>
    <row r="11" spans="1:11" x14ac:dyDescent="0.25">
      <c r="A11" s="39"/>
      <c r="B11" s="40"/>
      <c r="C11" s="40"/>
      <c r="D11" s="40"/>
      <c r="E11" s="40"/>
      <c r="F11" s="40"/>
      <c r="G11" s="40"/>
      <c r="H11" s="40"/>
      <c r="I11" s="40"/>
      <c r="J11" s="40"/>
      <c r="K11" s="40"/>
    </row>
    <row r="12" spans="1:11" x14ac:dyDescent="0.25">
      <c r="A12" s="39"/>
      <c r="B12" s="40"/>
      <c r="C12" s="40"/>
      <c r="D12" s="40"/>
      <c r="E12" s="40"/>
      <c r="F12" s="40"/>
      <c r="G12" s="40"/>
      <c r="H12" s="40"/>
      <c r="I12" s="40"/>
      <c r="J12" s="40"/>
      <c r="K12" s="40"/>
    </row>
    <row r="13" spans="1:11" x14ac:dyDescent="0.25">
      <c r="B13" s="40"/>
      <c r="C13" s="40"/>
      <c r="D13" s="40"/>
      <c r="E13" s="40"/>
      <c r="F13" s="40"/>
      <c r="G13" s="40"/>
      <c r="H13" s="40"/>
      <c r="I13" s="40"/>
      <c r="J13" s="40"/>
      <c r="K13" s="40"/>
    </row>
    <row r="14" spans="1:11" x14ac:dyDescent="0.25">
      <c r="A14" s="20"/>
      <c r="B14" s="40"/>
      <c r="C14" s="40"/>
      <c r="D14" s="40"/>
      <c r="E14" s="40"/>
      <c r="F14" s="40"/>
      <c r="G14" s="40"/>
      <c r="H14" s="40"/>
      <c r="I14" s="40"/>
      <c r="J14" s="40"/>
      <c r="K14" s="40"/>
    </row>
    <row r="15" spans="1:11" x14ac:dyDescent="0.25">
      <c r="A15" s="20"/>
      <c r="B15" s="40"/>
      <c r="C15" s="40"/>
      <c r="D15" s="40"/>
      <c r="E15" s="40"/>
      <c r="F15" s="40"/>
      <c r="G15" s="40"/>
      <c r="H15" s="40"/>
      <c r="I15" s="40"/>
      <c r="J15" s="40"/>
      <c r="K15" s="40"/>
    </row>
    <row r="16" spans="1:11" x14ac:dyDescent="0.25">
      <c r="A16" s="20"/>
      <c r="B16" s="40"/>
      <c r="C16" s="40"/>
      <c r="D16" s="40"/>
      <c r="E16" s="40"/>
      <c r="F16" s="40"/>
      <c r="G16" s="40"/>
      <c r="H16" s="40"/>
      <c r="I16" s="40"/>
      <c r="J16" s="40"/>
      <c r="K16" s="40"/>
    </row>
    <row r="17" spans="1:11" x14ac:dyDescent="0.25">
      <c r="A17" s="20" t="s">
        <v>228</v>
      </c>
      <c r="B17" s="34" t="s">
        <v>199</v>
      </c>
      <c r="C17" s="33"/>
      <c r="D17" s="33"/>
      <c r="E17" s="33"/>
      <c r="F17" s="33"/>
      <c r="G17" s="33"/>
      <c r="H17" s="33"/>
      <c r="I17" s="33"/>
      <c r="J17" s="33"/>
      <c r="K17" s="33"/>
    </row>
    <row r="18" spans="1:11" ht="47.25" customHeight="1" x14ac:dyDescent="0.25">
      <c r="A18" s="21" t="s">
        <v>187</v>
      </c>
      <c r="B18" s="40" t="s">
        <v>250</v>
      </c>
      <c r="C18" s="40"/>
      <c r="D18" s="40"/>
      <c r="E18" s="40"/>
      <c r="F18" s="40"/>
      <c r="G18" s="40"/>
      <c r="H18" s="40"/>
      <c r="I18" s="40"/>
      <c r="J18" s="40"/>
      <c r="K18" s="40"/>
    </row>
    <row r="19" spans="1:11" ht="97.5" customHeight="1" x14ac:dyDescent="0.25">
      <c r="A19" s="21" t="s">
        <v>247</v>
      </c>
      <c r="B19" s="40" t="s">
        <v>249</v>
      </c>
      <c r="C19" s="40"/>
      <c r="D19" s="40"/>
      <c r="E19" s="40"/>
      <c r="F19" s="40"/>
      <c r="G19" s="40"/>
      <c r="H19" s="40"/>
      <c r="I19" s="40"/>
      <c r="J19" s="40"/>
      <c r="K19" s="40"/>
    </row>
    <row r="20" spans="1:11" ht="114.75" customHeight="1" x14ac:dyDescent="0.25">
      <c r="A20" s="21" t="s">
        <v>248</v>
      </c>
      <c r="B20" s="40" t="s">
        <v>258</v>
      </c>
      <c r="C20" s="40"/>
      <c r="D20" s="40"/>
      <c r="E20" s="40"/>
      <c r="F20" s="40"/>
      <c r="G20" s="40"/>
      <c r="H20" s="40"/>
      <c r="I20" s="40"/>
      <c r="J20" s="40"/>
      <c r="K20" s="40"/>
    </row>
    <row r="21" spans="1:11" ht="29.25" customHeight="1" x14ac:dyDescent="0.25">
      <c r="A21" s="21" t="s">
        <v>218</v>
      </c>
      <c r="B21" s="40" t="s">
        <v>229</v>
      </c>
      <c r="C21" s="40"/>
      <c r="D21" s="40"/>
      <c r="E21" s="40"/>
      <c r="F21" s="40"/>
      <c r="G21" s="40"/>
      <c r="H21" s="40"/>
      <c r="I21" s="40"/>
      <c r="J21" s="40"/>
      <c r="K21" s="40"/>
    </row>
    <row r="22" spans="1:11" ht="15" customHeight="1" x14ac:dyDescent="0.25">
      <c r="B22" s="33"/>
      <c r="C22" s="33"/>
      <c r="D22" s="33"/>
      <c r="E22" s="33"/>
      <c r="F22" s="33"/>
      <c r="G22" s="33"/>
      <c r="H22" s="33"/>
      <c r="I22" s="33"/>
      <c r="J22" s="33"/>
      <c r="K22" s="33"/>
    </row>
    <row r="23" spans="1:11" x14ac:dyDescent="0.25">
      <c r="B23" s="33"/>
      <c r="C23" s="33"/>
      <c r="D23" s="33"/>
      <c r="E23" s="33"/>
      <c r="F23" s="33"/>
      <c r="G23" s="33"/>
      <c r="H23" s="33"/>
      <c r="I23" s="33"/>
      <c r="J23" s="33"/>
      <c r="K23" s="33"/>
    </row>
    <row r="24" spans="1:11" x14ac:dyDescent="0.25">
      <c r="B24" s="33"/>
      <c r="C24" s="33"/>
      <c r="D24" s="33"/>
      <c r="E24" s="33"/>
      <c r="F24" s="33"/>
      <c r="G24" s="33"/>
      <c r="H24" s="33"/>
      <c r="I24" s="33"/>
      <c r="J24" s="33"/>
      <c r="K24" s="33"/>
    </row>
    <row r="25" spans="1:11" x14ac:dyDescent="0.25">
      <c r="B25" s="33"/>
      <c r="C25" s="33"/>
      <c r="D25" s="33"/>
      <c r="E25" s="33"/>
      <c r="F25" s="33"/>
      <c r="G25" s="33"/>
      <c r="H25" s="33"/>
      <c r="I25" s="33"/>
      <c r="J25" s="33"/>
      <c r="K25" s="33"/>
    </row>
    <row r="26" spans="1:11" x14ac:dyDescent="0.25">
      <c r="A26" s="22" t="s">
        <v>199</v>
      </c>
    </row>
    <row r="27" spans="1:11" x14ac:dyDescent="0.25">
      <c r="A27" s="21" t="s">
        <v>214</v>
      </c>
      <c r="E27" s="4">
        <v>863.7</v>
      </c>
      <c r="F27" s="21" t="s">
        <v>7</v>
      </c>
    </row>
    <row r="28" spans="1:11" x14ac:dyDescent="0.25">
      <c r="A28" s="21" t="s">
        <v>198</v>
      </c>
      <c r="D28" s="21" t="s">
        <v>225</v>
      </c>
      <c r="E28" s="32">
        <f>storage_costs!B2*exchange_rate_USD25_EUR25</f>
        <v>7.5327000000000002</v>
      </c>
      <c r="F28" s="23" t="s">
        <v>227</v>
      </c>
    </row>
    <row r="29" spans="1:11" x14ac:dyDescent="0.25">
      <c r="D29" s="21" t="s">
        <v>226</v>
      </c>
      <c r="E29" s="32">
        <f>storage_costs!B3*exchange_rate_USD25_EUR25</f>
        <v>15.951599999999999</v>
      </c>
      <c r="F29" s="23" t="s">
        <v>227</v>
      </c>
    </row>
    <row r="30" spans="1:11" x14ac:dyDescent="0.25">
      <c r="A30" s="21" t="s">
        <v>215</v>
      </c>
      <c r="D30" s="21" t="s">
        <v>211</v>
      </c>
      <c r="E30" s="4">
        <f>pipeline_costs!C5</f>
        <v>4.4310000000000002E-2</v>
      </c>
      <c r="F30" s="23"/>
    </row>
    <row r="31" spans="1:11" x14ac:dyDescent="0.25">
      <c r="D31" s="21" t="s">
        <v>212</v>
      </c>
      <c r="E31" s="4">
        <v>0</v>
      </c>
    </row>
    <row r="32" spans="1:11" x14ac:dyDescent="0.25">
      <c r="A32" s="21" t="s">
        <v>216</v>
      </c>
      <c r="D32" s="21" t="s">
        <v>211</v>
      </c>
      <c r="E32" s="4">
        <f>shipping_costs!C19</f>
        <v>1.24E-2</v>
      </c>
    </row>
    <row r="33" spans="1:6" x14ac:dyDescent="0.25">
      <c r="D33" s="21" t="s">
        <v>212</v>
      </c>
      <c r="E33" s="4">
        <f>shipping_costs!C20</f>
        <v>27.552</v>
      </c>
    </row>
    <row r="34" spans="1:6" x14ac:dyDescent="0.25">
      <c r="A34" s="21" t="s">
        <v>210</v>
      </c>
      <c r="E34" s="4">
        <v>0.88619999999999999</v>
      </c>
      <c r="F34" s="6"/>
    </row>
    <row r="35" spans="1:6" x14ac:dyDescent="0.25">
      <c r="A35" s="21" t="s">
        <v>219</v>
      </c>
      <c r="E35" s="31">
        <f>135.86/91.2</f>
        <v>1.4896929824561405</v>
      </c>
    </row>
  </sheetData>
  <mergeCells count="10">
    <mergeCell ref="B18:K18"/>
    <mergeCell ref="B19:K19"/>
    <mergeCell ref="B20:K20"/>
    <mergeCell ref="B21:K21"/>
    <mergeCell ref="B5:K16"/>
    <mergeCell ref="B1:K1"/>
    <mergeCell ref="B2:K2"/>
    <mergeCell ref="B3:K3"/>
    <mergeCell ref="B4:K4"/>
    <mergeCell ref="A5:A12"/>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8FE-3E76-4809-9FCB-5274928AB375}">
  <sheetPr>
    <tabColor theme="6"/>
  </sheetPr>
  <dimension ref="A1:G146"/>
  <sheetViews>
    <sheetView workbookViewId="0">
      <selection activeCell="A28" sqref="A28"/>
    </sheetView>
  </sheetViews>
  <sheetFormatPr defaultRowHeight="15" x14ac:dyDescent="0.25"/>
  <cols>
    <col min="1" max="1" width="41" bestFit="1" customWidth="1"/>
    <col min="2" max="2" width="11" bestFit="1" customWidth="1"/>
    <col min="3" max="3" width="18.5703125" bestFit="1" customWidth="1"/>
    <col min="4" max="4" width="27.28515625" bestFit="1" customWidth="1"/>
    <col min="5" max="5" width="27.28515625" customWidth="1"/>
    <col min="6" max="6" width="12.140625" bestFit="1" customWidth="1"/>
    <col min="7" max="7" width="29.140625" bestFit="1" customWidth="1"/>
  </cols>
  <sheetData>
    <row r="1" spans="1:7" x14ac:dyDescent="0.25">
      <c r="A1" s="3" t="s">
        <v>186</v>
      </c>
      <c r="B1" s="3" t="s">
        <v>185</v>
      </c>
      <c r="C1" s="3" t="s">
        <v>255</v>
      </c>
      <c r="D1" s="3" t="s">
        <v>256</v>
      </c>
      <c r="E1" s="3" t="s">
        <v>217</v>
      </c>
      <c r="F1" s="3" t="s">
        <v>184</v>
      </c>
      <c r="G1" s="35" t="s">
        <v>50</v>
      </c>
    </row>
    <row r="2" spans="1:7" x14ac:dyDescent="0.25">
      <c r="A2" t="s">
        <v>251</v>
      </c>
      <c r="B2" t="s">
        <v>183</v>
      </c>
      <c r="C2" t="s">
        <v>14</v>
      </c>
      <c r="D2" t="s">
        <v>14</v>
      </c>
      <c r="E2" t="str">
        <f>IF(F2&lt;&gt;"",(IF(F2&lt;Info!$E$27,"pipeline","shipping")),"-")</f>
        <v>-</v>
      </c>
      <c r="G2" s="1">
        <f>per_ton_onshore_storage_costs</f>
        <v>7.5327000000000002</v>
      </c>
    </row>
    <row r="3" spans="1:7" x14ac:dyDescent="0.25">
      <c r="A3" t="s">
        <v>251</v>
      </c>
      <c r="B3" t="s">
        <v>183</v>
      </c>
      <c r="C3" t="s">
        <v>16</v>
      </c>
      <c r="D3" t="s">
        <v>16</v>
      </c>
      <c r="E3" t="str">
        <f>IF(F3&lt;&gt;"",(IF(F3&lt;Info!$E$27,"pipeline","shipping")),"-")</f>
        <v>-</v>
      </c>
      <c r="G3" s="1">
        <f>per_ton_onshore_storage_costs</f>
        <v>7.5327000000000002</v>
      </c>
    </row>
    <row r="4" spans="1:7" x14ac:dyDescent="0.25">
      <c r="A4" t="s">
        <v>251</v>
      </c>
      <c r="B4" t="s">
        <v>183</v>
      </c>
      <c r="C4" t="s">
        <v>23</v>
      </c>
      <c r="D4" t="s">
        <v>23</v>
      </c>
      <c r="E4" t="str">
        <f>IF(F4&lt;&gt;"",(IF(F4&lt;Info!$E$27,"pipeline","shipping")),"-")</f>
        <v>-</v>
      </c>
      <c r="G4" s="1">
        <f>per_ton_onshore_storage_costs</f>
        <v>7.5327000000000002</v>
      </c>
    </row>
    <row r="5" spans="1:7" x14ac:dyDescent="0.25">
      <c r="A5" t="s">
        <v>251</v>
      </c>
      <c r="B5" t="s">
        <v>183</v>
      </c>
      <c r="C5" t="s">
        <v>18</v>
      </c>
      <c r="D5" t="s">
        <v>18</v>
      </c>
      <c r="E5" t="str">
        <f>IF(F5&lt;&gt;"",(IF(F5&lt;Info!$E$27,"pipeline","shipping")),"-")</f>
        <v>-</v>
      </c>
      <c r="G5" s="1">
        <f>per_ton_onshore_storage_costs</f>
        <v>7.5327000000000002</v>
      </c>
    </row>
    <row r="6" spans="1:7" x14ac:dyDescent="0.25">
      <c r="A6" t="s">
        <v>251</v>
      </c>
      <c r="B6" t="s">
        <v>183</v>
      </c>
      <c r="C6" t="s">
        <v>12</v>
      </c>
      <c r="D6" t="s">
        <v>12</v>
      </c>
      <c r="E6" t="str">
        <f>IF(F6&lt;&gt;"",(IF(F6&lt;Info!$E$27,"pipeline","shipping")),"-")</f>
        <v>-</v>
      </c>
      <c r="G6" s="1">
        <f>per_ton_onshore_storage_costs</f>
        <v>7.5327000000000002</v>
      </c>
    </row>
    <row r="7" spans="1:7" x14ac:dyDescent="0.25">
      <c r="A7" t="s">
        <v>252</v>
      </c>
      <c r="B7" t="s">
        <v>183</v>
      </c>
      <c r="C7" t="s">
        <v>24</v>
      </c>
      <c r="D7" t="s">
        <v>105</v>
      </c>
      <c r="E7" t="str">
        <f>IF(F7&lt;&gt;"",(IF(F7&lt;Info!$E$27,"pipeline","shipping")),"-")</f>
        <v>pipeline</v>
      </c>
      <c r="F7" s="36">
        <v>23.06944706836989</v>
      </c>
      <c r="G7" s="1">
        <f>IF(E7="pipeline",F7*pipe_a+pipe_b,F7*ship_a+ship_b)+per_ton_offshore_storage_costs</f>
        <v>16.97380719959947</v>
      </c>
    </row>
    <row r="8" spans="1:7" x14ac:dyDescent="0.25">
      <c r="A8" t="s">
        <v>252</v>
      </c>
      <c r="B8" t="s">
        <v>183</v>
      </c>
      <c r="C8" t="s">
        <v>24</v>
      </c>
      <c r="D8" t="s">
        <v>91</v>
      </c>
      <c r="E8" t="str">
        <f>IF(F8&lt;&gt;"",(IF(F8&lt;Info!$E$27,"pipeline","shipping")),"-")</f>
        <v>pipeline</v>
      </c>
      <c r="F8" s="36">
        <v>97.658920566339674</v>
      </c>
      <c r="G8" s="1">
        <f>IF(E8="pipeline",F8*pipe_a+pipe_b,F8*ship_a+ship_b)+per_ton_offshore_storage_costs</f>
        <v>20.27886677029451</v>
      </c>
    </row>
    <row r="9" spans="1:7" x14ac:dyDescent="0.25">
      <c r="A9" t="s">
        <v>252</v>
      </c>
      <c r="B9" t="s">
        <v>183</v>
      </c>
      <c r="C9" t="s">
        <v>21</v>
      </c>
      <c r="D9" t="s">
        <v>89</v>
      </c>
      <c r="E9" t="str">
        <f>IF(F9&lt;&gt;"",(IF(F9&lt;Info!$E$27,"pipeline","shipping")),"-")</f>
        <v>pipeline</v>
      </c>
      <c r="F9" s="36">
        <v>108.3541689320635</v>
      </c>
      <c r="G9" s="1">
        <f>IF(E9="pipeline",F9*pipe_a+pipe_b,F9*ship_a+ship_b)+per_ton_offshore_storage_costs</f>
        <v>20.752773225379734</v>
      </c>
    </row>
    <row r="10" spans="1:7" x14ac:dyDescent="0.25">
      <c r="A10" t="s">
        <v>252</v>
      </c>
      <c r="B10" t="s">
        <v>183</v>
      </c>
      <c r="C10" t="s">
        <v>19</v>
      </c>
      <c r="D10" t="s">
        <v>103</v>
      </c>
      <c r="E10" t="str">
        <f>IF(F10&lt;&gt;"",(IF(F10&lt;Info!$E$27,"pipeline","shipping")),"-")</f>
        <v>pipeline</v>
      </c>
      <c r="F10" s="36">
        <v>153.52377070751362</v>
      </c>
      <c r="G10" s="1">
        <f>IF(E10="pipeline",F10*pipe_a+pipe_b,F10*ship_a+ship_b)+per_ton_offshore_storage_costs</f>
        <v>22.754238280049929</v>
      </c>
    </row>
    <row r="11" spans="1:7" x14ac:dyDescent="0.25">
      <c r="A11" t="s">
        <v>252</v>
      </c>
      <c r="B11" t="s">
        <v>183</v>
      </c>
      <c r="C11" t="s">
        <v>21</v>
      </c>
      <c r="D11" t="s">
        <v>97</v>
      </c>
      <c r="E11" t="str">
        <f>IF(F11&lt;&gt;"",(IF(F11&lt;Info!$E$27,"pipeline","shipping")),"-")</f>
        <v>pipeline</v>
      </c>
      <c r="F11" s="36">
        <v>182.3502733243829</v>
      </c>
      <c r="G11" s="1">
        <f>IF(E11="pipeline",F11*pipe_a+pipe_b,F11*ship_a+ship_b)+per_ton_offshore_storage_costs</f>
        <v>24.031540611003408</v>
      </c>
    </row>
    <row r="12" spans="1:7" x14ac:dyDescent="0.25">
      <c r="A12" t="s">
        <v>252</v>
      </c>
      <c r="B12" t="s">
        <v>183</v>
      </c>
      <c r="C12" t="s">
        <v>20</v>
      </c>
      <c r="D12" t="s">
        <v>96</v>
      </c>
      <c r="E12" t="str">
        <f>IF(F12&lt;&gt;"",(IF(F12&lt;Info!$E$27,"pipeline","shipping")),"-")</f>
        <v>pipeline</v>
      </c>
      <c r="F12" s="36">
        <v>189.67913502220591</v>
      </c>
      <c r="G12" s="1">
        <f>IF(E12="pipeline",F12*pipe_a+pipe_b,F12*ship_a+ship_b)+per_ton_offshore_storage_costs</f>
        <v>24.356282472833943</v>
      </c>
    </row>
    <row r="13" spans="1:7" x14ac:dyDescent="0.25">
      <c r="A13" t="s">
        <v>252</v>
      </c>
      <c r="B13" t="s">
        <v>183</v>
      </c>
      <c r="C13" t="s">
        <v>24</v>
      </c>
      <c r="D13" t="s">
        <v>102</v>
      </c>
      <c r="E13" t="str">
        <f>IF(F13&lt;&gt;"",(IF(F13&lt;Info!$E$27,"pipeline","shipping")),"-")</f>
        <v>pipeline</v>
      </c>
      <c r="F13" s="36">
        <v>217.7440948124723</v>
      </c>
      <c r="G13" s="1">
        <f>IF(E13="pipeline",F13*pipe_a+pipe_b,F13*ship_a+ship_b)+per_ton_offshore_storage_costs</f>
        <v>25.599840841140647</v>
      </c>
    </row>
    <row r="14" spans="1:7" x14ac:dyDescent="0.25">
      <c r="A14" t="s">
        <v>252</v>
      </c>
      <c r="B14" t="s">
        <v>183</v>
      </c>
      <c r="C14" t="s">
        <v>17</v>
      </c>
      <c r="D14" t="s">
        <v>95</v>
      </c>
      <c r="E14" t="str">
        <f>IF(F14&lt;&gt;"",(IF(F14&lt;Info!$E$27,"pipeline","shipping")),"-")</f>
        <v>pipeline</v>
      </c>
      <c r="F14" s="36">
        <v>255.0056265304421</v>
      </c>
      <c r="G14" s="1">
        <f>IF(E14="pipeline",F14*pipe_a+pipe_b,F14*ship_a+ship_b)+per_ton_offshore_storage_costs</f>
        <v>27.250899311563892</v>
      </c>
    </row>
    <row r="15" spans="1:7" x14ac:dyDescent="0.25">
      <c r="A15" t="s">
        <v>252</v>
      </c>
      <c r="B15" t="s">
        <v>183</v>
      </c>
      <c r="C15" t="s">
        <v>24</v>
      </c>
      <c r="D15" t="s">
        <v>99</v>
      </c>
      <c r="E15" t="str">
        <f>IF(F15&lt;&gt;"",(IF(F15&lt;Info!$E$27,"pipeline","shipping")),"-")</f>
        <v>pipeline</v>
      </c>
      <c r="F15" s="36">
        <v>274.1203196014589</v>
      </c>
      <c r="G15" s="1">
        <f>IF(E15="pipeline",F15*pipe_a+pipe_b,F15*ship_a+ship_b)+per_ton_offshore_storage_costs</f>
        <v>28.097871361540644</v>
      </c>
    </row>
    <row r="16" spans="1:7" x14ac:dyDescent="0.25">
      <c r="A16" t="s">
        <v>252</v>
      </c>
      <c r="B16" t="s">
        <v>183</v>
      </c>
      <c r="C16" t="s">
        <v>14</v>
      </c>
      <c r="D16" t="s">
        <v>90</v>
      </c>
      <c r="E16" t="str">
        <f>IF(F16&lt;&gt;"",(IF(F16&lt;Info!$E$27,"pipeline","shipping")),"-")</f>
        <v>pipeline</v>
      </c>
      <c r="F16" s="36">
        <v>307.90075023361061</v>
      </c>
      <c r="G16" s="1">
        <f>IF(E16="pipeline",F16*pipe_a+pipe_b,F16*ship_a+ship_b)+per_ton_offshore_storage_costs</f>
        <v>29.594682242851285</v>
      </c>
    </row>
    <row r="17" spans="1:7" x14ac:dyDescent="0.25">
      <c r="A17" t="s">
        <v>252</v>
      </c>
      <c r="B17" t="s">
        <v>183</v>
      </c>
      <c r="C17" t="s">
        <v>24</v>
      </c>
      <c r="D17" t="s">
        <v>100</v>
      </c>
      <c r="E17" t="str">
        <f>IF(F17&lt;&gt;"",(IF(F17&lt;Info!$E$27,"pipeline","shipping")),"-")</f>
        <v>pipeline</v>
      </c>
      <c r="F17" s="36">
        <v>324.19533737730677</v>
      </c>
      <c r="G17" s="1">
        <f>IF(E17="pipeline",F17*pipe_a+pipe_b,F17*ship_a+ship_b)+per_ton_offshore_storage_costs</f>
        <v>30.316695399188461</v>
      </c>
    </row>
    <row r="18" spans="1:7" x14ac:dyDescent="0.25">
      <c r="A18" t="s">
        <v>252</v>
      </c>
      <c r="B18" t="s">
        <v>183</v>
      </c>
      <c r="C18" t="s">
        <v>24</v>
      </c>
      <c r="D18" t="s">
        <v>101</v>
      </c>
      <c r="E18" t="str">
        <f>IF(F18&lt;&gt;"",(IF(F18&lt;Info!$E$27,"pipeline","shipping")),"-")</f>
        <v>pipeline</v>
      </c>
      <c r="F18" s="36">
        <v>355.74986026058463</v>
      </c>
      <c r="G18" s="1">
        <f>IF(E18="pipeline",F18*pipe_a+pipe_b,F18*ship_a+ship_b)+per_ton_offshore_storage_costs</f>
        <v>31.714876308146504</v>
      </c>
    </row>
    <row r="19" spans="1:7" x14ac:dyDescent="0.25">
      <c r="A19" t="s">
        <v>252</v>
      </c>
      <c r="B19" t="s">
        <v>183</v>
      </c>
      <c r="C19" t="s">
        <v>15</v>
      </c>
      <c r="D19" t="s">
        <v>104</v>
      </c>
      <c r="E19" t="str">
        <f>IF(F19&lt;&gt;"",(IF(F19&lt;Info!$E$27,"pipeline","shipping")),"-")</f>
        <v>pipeline</v>
      </c>
      <c r="F19" s="36">
        <v>404.2551699422479</v>
      </c>
      <c r="G19" s="1">
        <f>IF(E19="pipeline",F19*pipe_a+pipe_b,F19*ship_a+ship_b)+per_ton_offshore_storage_costs</f>
        <v>33.864146580141004</v>
      </c>
    </row>
    <row r="20" spans="1:7" x14ac:dyDescent="0.25">
      <c r="A20" t="s">
        <v>252</v>
      </c>
      <c r="B20" t="s">
        <v>183</v>
      </c>
      <c r="C20" t="s">
        <v>13</v>
      </c>
      <c r="D20" t="s">
        <v>107</v>
      </c>
      <c r="E20" t="str">
        <f>IF(F20&lt;&gt;"",(IF(F20&lt;Info!$E$27,"pipeline","shipping")),"-")</f>
        <v>pipeline</v>
      </c>
      <c r="F20" s="36">
        <v>459.2017834364936</v>
      </c>
      <c r="G20" s="1">
        <f>IF(E20="pipeline",F20*pipe_a+pipe_b,F20*ship_a+ship_b)+per_ton_offshore_storage_costs</f>
        <v>36.298831024071035</v>
      </c>
    </row>
    <row r="21" spans="1:7" x14ac:dyDescent="0.25">
      <c r="A21" t="s">
        <v>252</v>
      </c>
      <c r="B21" t="s">
        <v>183</v>
      </c>
      <c r="C21" t="s">
        <v>24</v>
      </c>
      <c r="D21" t="s">
        <v>98</v>
      </c>
      <c r="E21" t="str">
        <f>IF(F21&lt;&gt;"",(IF(F21&lt;Info!$E$27,"pipeline","shipping")),"-")</f>
        <v>pipeline</v>
      </c>
      <c r="F21" s="36">
        <v>492.10887085487508</v>
      </c>
      <c r="G21" s="1">
        <f>IF(E21="pipeline",F21*pipe_a+pipe_b,F21*ship_a+ship_b)+per_ton_offshore_storage_costs</f>
        <v>37.756944067579511</v>
      </c>
    </row>
    <row r="22" spans="1:7" x14ac:dyDescent="0.25">
      <c r="A22" t="s">
        <v>252</v>
      </c>
      <c r="B22" t="s">
        <v>183</v>
      </c>
      <c r="C22" t="s">
        <v>22</v>
      </c>
      <c r="D22" t="s">
        <v>92</v>
      </c>
      <c r="E22" t="str">
        <f>IF(F22&lt;&gt;"",(IF(F22&lt;Info!$E$27,"pipeline","shipping")),"-")</f>
        <v>pipeline</v>
      </c>
      <c r="F22" s="36">
        <v>707.25249166769959</v>
      </c>
      <c r="G22" s="1">
        <f>IF(E22="pipeline",F22*pipe_a+pipe_b,F22*ship_a+ship_b)+per_ton_offshore_storage_costs</f>
        <v>47.289957905795774</v>
      </c>
    </row>
    <row r="23" spans="1:7" x14ac:dyDescent="0.25">
      <c r="A23" t="s">
        <v>252</v>
      </c>
      <c r="B23" t="s">
        <v>183</v>
      </c>
      <c r="C23" t="s">
        <v>24</v>
      </c>
      <c r="D23" t="s">
        <v>106</v>
      </c>
      <c r="E23" t="str">
        <f>IF(F23&lt;&gt;"",(IF(F23&lt;Info!$E$27,"pipeline","shipping")),"-")</f>
        <v>pipeline</v>
      </c>
      <c r="F23" s="36">
        <v>846.67131280570436</v>
      </c>
      <c r="G23" s="1">
        <f>IF(E23="pipeline",F23*pipe_a+pipe_b,F23*ship_a+ship_b)+per_ton_offshore_storage_costs</f>
        <v>53.467605870420762</v>
      </c>
    </row>
    <row r="24" spans="1:7" x14ac:dyDescent="0.25">
      <c r="A24" t="s">
        <v>252</v>
      </c>
      <c r="B24" t="s">
        <v>183</v>
      </c>
      <c r="C24" t="s">
        <v>22</v>
      </c>
      <c r="D24" t="s">
        <v>94</v>
      </c>
      <c r="E24" t="str">
        <f>IF(F24&lt;&gt;"",(IF(F24&lt;Info!$E$27,"pipeline","shipping")),"-")</f>
        <v>pipeline</v>
      </c>
      <c r="F24" s="36">
        <v>862.78662156292785</v>
      </c>
      <c r="G24" s="1">
        <f>IF(E24="pipeline",F24*pipe_a+pipe_b,F24*ship_a+ship_b)+per_ton_offshore_storage_costs</f>
        <v>54.181675201453331</v>
      </c>
    </row>
    <row r="25" spans="1:7" x14ac:dyDescent="0.25">
      <c r="A25" t="s">
        <v>252</v>
      </c>
      <c r="B25" t="s">
        <v>183</v>
      </c>
      <c r="C25" t="s">
        <v>22</v>
      </c>
      <c r="D25" t="s">
        <v>93</v>
      </c>
      <c r="E25" t="str">
        <f>IF(F25&lt;&gt;"",(IF(F25&lt;Info!$E$27,"pipeline","shipping")),"-")</f>
        <v>shipping</v>
      </c>
      <c r="F25" s="36">
        <v>929.19838380068029</v>
      </c>
      <c r="G25" s="1">
        <f>IF(E25="pipeline",F25*pipe_a+pipe_b,F25*ship_a+ship_b)+per_ton_offshore_storage_costs</f>
        <v>55.025659959128433</v>
      </c>
    </row>
    <row r="26" spans="1:7" x14ac:dyDescent="0.25">
      <c r="A26" t="s">
        <v>253</v>
      </c>
      <c r="B26" t="s">
        <v>183</v>
      </c>
      <c r="C26" t="s">
        <v>24</v>
      </c>
      <c r="D26" t="s">
        <v>21</v>
      </c>
      <c r="E26" t="str">
        <f>IF(F26&lt;&gt;"",(IF(F26&lt;Info!$E$27,"pipeline","shipping")),"-")</f>
        <v>pipeline</v>
      </c>
      <c r="F26">
        <v>465</v>
      </c>
      <c r="G26" s="1">
        <f>IF(E26="pipeline",F26*pipe_a+pipe_b,F26*ship_a+ship_b)</f>
        <v>20.604150000000001</v>
      </c>
    </row>
    <row r="27" spans="1:7" x14ac:dyDescent="0.25">
      <c r="A27" t="s">
        <v>253</v>
      </c>
      <c r="B27" t="s">
        <v>183</v>
      </c>
      <c r="C27" t="s">
        <v>21</v>
      </c>
      <c r="D27" t="s">
        <v>14</v>
      </c>
      <c r="E27" t="str">
        <f>IF(F27&lt;&gt;"",(IF(F27&lt;Info!$E$27,"pipeline","shipping")),"-")</f>
        <v>pipeline</v>
      </c>
      <c r="F27">
        <v>521</v>
      </c>
      <c r="G27" s="1">
        <f>IF(E27="pipeline",F27*pipe_a+pipe_b,F27*ship_a+ship_b)</f>
        <v>23.085510000000003</v>
      </c>
    </row>
    <row r="28" spans="1:7" x14ac:dyDescent="0.25">
      <c r="A28" t="s">
        <v>253</v>
      </c>
      <c r="B28" t="s">
        <v>183</v>
      </c>
      <c r="C28" t="s">
        <v>27</v>
      </c>
      <c r="D28" t="s">
        <v>24</v>
      </c>
      <c r="E28" t="str">
        <f>IF(F28&lt;&gt;"",(IF(F28&lt;Info!$E$27,"pipeline","shipping")),"-")</f>
        <v>pipeline</v>
      </c>
      <c r="F28">
        <v>568</v>
      </c>
      <c r="G28" s="1">
        <f>IF(E28="pipeline",F28*pipe_a+pipe_b,F28*ship_a+ship_b)</f>
        <v>25.16808</v>
      </c>
    </row>
    <row r="29" spans="1:7" x14ac:dyDescent="0.25">
      <c r="A29" t="s">
        <v>253</v>
      </c>
      <c r="B29" t="s">
        <v>183</v>
      </c>
      <c r="C29" t="s">
        <v>27</v>
      </c>
      <c r="D29" t="s">
        <v>14</v>
      </c>
      <c r="E29" t="str">
        <f>IF(F29&lt;&gt;"",(IF(F29&lt;Info!$E$27,"pipeline","shipping")),"-")</f>
        <v>pipeline</v>
      </c>
      <c r="F29">
        <v>622</v>
      </c>
      <c r="G29" s="1">
        <f>IF(E29="pipeline",F29*pipe_a+pipe_b,F29*ship_a+ship_b)</f>
        <v>27.56082</v>
      </c>
    </row>
    <row r="30" spans="1:7" x14ac:dyDescent="0.25">
      <c r="A30" t="s">
        <v>253</v>
      </c>
      <c r="B30" t="s">
        <v>183</v>
      </c>
      <c r="C30" t="s">
        <v>24</v>
      </c>
      <c r="D30" t="s">
        <v>14</v>
      </c>
      <c r="E30" t="str">
        <f>IF(F30&lt;&gt;"",(IF(F30&lt;Info!$E$27,"pipeline","shipping")),"-")</f>
        <v>pipeline</v>
      </c>
      <c r="F30">
        <v>627</v>
      </c>
      <c r="G30" s="1">
        <f>IF(E30="pipeline",F30*pipe_a+pipe_b,F30*ship_a+ship_b)</f>
        <v>27.78237</v>
      </c>
    </row>
    <row r="31" spans="1:7" x14ac:dyDescent="0.25">
      <c r="A31" t="s">
        <v>253</v>
      </c>
      <c r="B31" t="s">
        <v>183</v>
      </c>
      <c r="C31" t="s">
        <v>22</v>
      </c>
      <c r="D31" t="s">
        <v>14</v>
      </c>
      <c r="E31" t="str">
        <f>IF(F31&lt;&gt;"",(IF(F31&lt;Info!$E$27,"pipeline","shipping")),"-")</f>
        <v>pipeline</v>
      </c>
      <c r="F31">
        <v>636</v>
      </c>
      <c r="G31" s="1">
        <f>IF(E31="pipeline",F31*pipe_a+pipe_b,F31*ship_a+ship_b)</f>
        <v>28.181160000000002</v>
      </c>
    </row>
    <row r="32" spans="1:7" x14ac:dyDescent="0.25">
      <c r="A32" t="s">
        <v>253</v>
      </c>
      <c r="B32" t="s">
        <v>183</v>
      </c>
      <c r="C32" t="s">
        <v>24</v>
      </c>
      <c r="D32" t="s">
        <v>13</v>
      </c>
      <c r="E32" t="str">
        <f>IF(F32&lt;&gt;"",(IF(F32&lt;Info!$E$27,"pipeline","shipping")),"-")</f>
        <v>pipeline</v>
      </c>
      <c r="F32">
        <v>746</v>
      </c>
      <c r="G32" s="1">
        <f>IF(E32="pipeline",F32*pipe_a+pipe_b,F32*ship_a+ship_b)</f>
        <v>33.055260000000004</v>
      </c>
    </row>
    <row r="33" spans="1:7" x14ac:dyDescent="0.25">
      <c r="A33" t="s">
        <v>253</v>
      </c>
      <c r="B33" t="s">
        <v>183</v>
      </c>
      <c r="C33" t="s">
        <v>24</v>
      </c>
      <c r="D33" t="s">
        <v>22</v>
      </c>
      <c r="E33" t="str">
        <f>IF(F33&lt;&gt;"",(IF(F33&lt;Info!$E$27,"pipeline","shipping")),"-")</f>
        <v>pipeline</v>
      </c>
      <c r="F33">
        <v>752</v>
      </c>
      <c r="G33" s="1">
        <f>IF(E33="pipeline",F33*pipe_a+pipe_b,F33*ship_a+ship_b)</f>
        <v>33.321120000000001</v>
      </c>
    </row>
    <row r="34" spans="1:7" x14ac:dyDescent="0.25">
      <c r="A34" t="s">
        <v>253</v>
      </c>
      <c r="B34" t="s">
        <v>183</v>
      </c>
      <c r="C34" t="s">
        <v>13</v>
      </c>
      <c r="D34" t="s">
        <v>22</v>
      </c>
      <c r="E34" t="str">
        <f>IF(F34&lt;&gt;"",(IF(F34&lt;Info!$E$27,"pipeline","shipping")),"-")</f>
        <v>shipping</v>
      </c>
      <c r="F34">
        <v>883</v>
      </c>
      <c r="G34" s="1">
        <f>IF(E34="pipeline",F34*pipe_a+pipe_b,F34*ship_a+ship_b)</f>
        <v>38.501199999999997</v>
      </c>
    </row>
    <row r="35" spans="1:7" x14ac:dyDescent="0.25">
      <c r="A35" t="s">
        <v>253</v>
      </c>
      <c r="B35" t="s">
        <v>183</v>
      </c>
      <c r="C35" t="s">
        <v>21</v>
      </c>
      <c r="D35" t="s">
        <v>22</v>
      </c>
      <c r="E35" t="str">
        <f>IF(F35&lt;&gt;"",(IF(F35&lt;Info!$E$27,"pipeline","shipping")),"-")</f>
        <v>shipping</v>
      </c>
      <c r="F35">
        <v>985</v>
      </c>
      <c r="G35" s="1">
        <f>IF(E35="pipeline",F35*pipe_a+pipe_b,F35*ship_a+ship_b)</f>
        <v>39.765999999999998</v>
      </c>
    </row>
    <row r="36" spans="1:7" x14ac:dyDescent="0.25">
      <c r="A36" t="s">
        <v>253</v>
      </c>
      <c r="B36" t="s">
        <v>183</v>
      </c>
      <c r="C36" t="s">
        <v>27</v>
      </c>
      <c r="D36" t="s">
        <v>22</v>
      </c>
      <c r="E36" t="str">
        <f>IF(F36&lt;&gt;"",(IF(F36&lt;Info!$E$27,"pipeline","shipping")),"-")</f>
        <v>shipping</v>
      </c>
      <c r="F36">
        <v>1039</v>
      </c>
      <c r="G36" s="1">
        <f>IF(E36="pipeline",F36*pipe_a+pipe_b,F36*ship_a+ship_b)</f>
        <v>40.435600000000001</v>
      </c>
    </row>
    <row r="37" spans="1:7" x14ac:dyDescent="0.25">
      <c r="A37" t="s">
        <v>253</v>
      </c>
      <c r="B37" t="s">
        <v>183</v>
      </c>
      <c r="C37" t="s">
        <v>21</v>
      </c>
      <c r="D37" t="s">
        <v>19</v>
      </c>
      <c r="E37" t="str">
        <f>IF(F37&lt;&gt;"",(IF(F37&lt;Info!$E$27,"pipeline","shipping")),"-")</f>
        <v>shipping</v>
      </c>
      <c r="F37">
        <v>1192</v>
      </c>
      <c r="G37" s="1">
        <f>IF(E37="pipeline",F37*pipe_a+pipe_b,F37*ship_a+ship_b)</f>
        <v>42.332799999999999</v>
      </c>
    </row>
    <row r="38" spans="1:7" x14ac:dyDescent="0.25">
      <c r="A38" t="s">
        <v>253</v>
      </c>
      <c r="B38" t="s">
        <v>183</v>
      </c>
      <c r="C38" t="s">
        <v>34</v>
      </c>
      <c r="D38" t="s">
        <v>14</v>
      </c>
      <c r="E38" t="str">
        <f>IF(F38&lt;&gt;"",(IF(F38&lt;Info!$E$27,"pipeline","shipping")),"-")</f>
        <v>shipping</v>
      </c>
      <c r="F38">
        <v>1268</v>
      </c>
      <c r="G38" s="1">
        <f>IF(E38="pipeline",F38*pipe_a+pipe_b,F38*ship_a+ship_b)</f>
        <v>43.275199999999998</v>
      </c>
    </row>
    <row r="39" spans="1:7" x14ac:dyDescent="0.25">
      <c r="A39" t="s">
        <v>253</v>
      </c>
      <c r="B39" t="s">
        <v>183</v>
      </c>
      <c r="C39" t="s">
        <v>27</v>
      </c>
      <c r="D39" t="s">
        <v>19</v>
      </c>
      <c r="E39" t="str">
        <f>IF(F39&lt;&gt;"",(IF(F39&lt;Info!$E$27,"pipeline","shipping")),"-")</f>
        <v>shipping</v>
      </c>
      <c r="F39">
        <v>1281</v>
      </c>
      <c r="G39" s="1">
        <f>IF(E39="pipeline",F39*pipe_a+pipe_b,F39*ship_a+ship_b)</f>
        <v>43.436399999999999</v>
      </c>
    </row>
    <row r="40" spans="1:7" x14ac:dyDescent="0.25">
      <c r="A40" t="s">
        <v>253</v>
      </c>
      <c r="B40" t="s">
        <v>183</v>
      </c>
      <c r="C40" t="s">
        <v>19</v>
      </c>
      <c r="D40" t="s">
        <v>22</v>
      </c>
      <c r="E40" t="str">
        <f>IF(F40&lt;&gt;"",(IF(F40&lt;Info!$E$27,"pipeline","shipping")),"-")</f>
        <v>shipping</v>
      </c>
      <c r="F40">
        <v>1492</v>
      </c>
      <c r="G40" s="1">
        <f>IF(E40="pipeline",F40*pipe_a+pipe_b,F40*ship_a+ship_b)</f>
        <v>46.052799999999998</v>
      </c>
    </row>
    <row r="41" spans="1:7" x14ac:dyDescent="0.25">
      <c r="A41" t="s">
        <v>253</v>
      </c>
      <c r="B41" t="s">
        <v>183</v>
      </c>
      <c r="C41" t="s">
        <v>34</v>
      </c>
      <c r="D41" t="s">
        <v>22</v>
      </c>
      <c r="E41" t="str">
        <f>IF(F41&lt;&gt;"",(IF(F41&lt;Info!$E$27,"pipeline","shipping")),"-")</f>
        <v>shipping</v>
      </c>
      <c r="F41">
        <v>1553</v>
      </c>
      <c r="G41" s="1">
        <f>IF(E41="pipeline",F41*pipe_a+pipe_b,F41*ship_a+ship_b)</f>
        <v>46.809200000000004</v>
      </c>
    </row>
    <row r="42" spans="1:7" x14ac:dyDescent="0.25">
      <c r="A42" t="s">
        <v>253</v>
      </c>
      <c r="B42" t="s">
        <v>183</v>
      </c>
      <c r="C42" t="s">
        <v>34</v>
      </c>
      <c r="D42" t="s">
        <v>13</v>
      </c>
      <c r="E42" t="str">
        <f>IF(F42&lt;&gt;"",(IF(F42&lt;Info!$E$27,"pipeline","shipping")),"-")</f>
        <v>shipping</v>
      </c>
      <c r="F42">
        <v>1565</v>
      </c>
      <c r="G42" s="1">
        <f>IF(E42="pipeline",F42*pipe_a+pipe_b,F42*ship_a+ship_b)</f>
        <v>46.957999999999998</v>
      </c>
    </row>
    <row r="43" spans="1:7" x14ac:dyDescent="0.25">
      <c r="A43" t="s">
        <v>253</v>
      </c>
      <c r="B43" t="s">
        <v>183</v>
      </c>
      <c r="C43" t="s">
        <v>19</v>
      </c>
      <c r="D43" t="s">
        <v>14</v>
      </c>
      <c r="E43" t="str">
        <f>IF(F43&lt;&gt;"",(IF(F43&lt;Info!$E$27,"pipeline","shipping")),"-")</f>
        <v>shipping</v>
      </c>
      <c r="F43">
        <v>1644</v>
      </c>
      <c r="G43" s="1">
        <f>IF(E43="pipeline",F43*pipe_a+pipe_b,F43*ship_a+ship_b)</f>
        <v>47.937600000000003</v>
      </c>
    </row>
    <row r="44" spans="1:7" x14ac:dyDescent="0.25">
      <c r="A44" t="s">
        <v>253</v>
      </c>
      <c r="B44" t="s">
        <v>183</v>
      </c>
      <c r="C44" t="s">
        <v>19</v>
      </c>
      <c r="D44" t="s">
        <v>13</v>
      </c>
      <c r="E44" t="str">
        <f>IF(F44&lt;&gt;"",(IF(F44&lt;Info!$E$27,"pipeline","shipping")),"-")</f>
        <v>shipping</v>
      </c>
      <c r="F44">
        <v>1694</v>
      </c>
      <c r="G44" s="1">
        <f>IF(E44="pipeline",F44*pipe_a+pipe_b,F44*ship_a+ship_b)</f>
        <v>48.557599999999994</v>
      </c>
    </row>
    <row r="45" spans="1:7" x14ac:dyDescent="0.25">
      <c r="A45" t="s">
        <v>253</v>
      </c>
      <c r="B45" t="s">
        <v>183</v>
      </c>
      <c r="C45" t="s">
        <v>34</v>
      </c>
      <c r="D45" t="s">
        <v>21</v>
      </c>
      <c r="E45" t="str">
        <f>IF(F45&lt;&gt;"",(IF(F45&lt;Info!$E$27,"pipeline","shipping")),"-")</f>
        <v>shipping</v>
      </c>
      <c r="F45">
        <v>1765</v>
      </c>
      <c r="G45" s="1">
        <f>IF(E45="pipeline",F45*pipe_a+pipe_b,F45*ship_a+ship_b)</f>
        <v>49.438000000000002</v>
      </c>
    </row>
    <row r="46" spans="1:7" x14ac:dyDescent="0.25">
      <c r="A46" t="s">
        <v>253</v>
      </c>
      <c r="B46" t="s">
        <v>183</v>
      </c>
      <c r="C46" t="s">
        <v>20</v>
      </c>
      <c r="D46" t="s">
        <v>17</v>
      </c>
      <c r="E46" t="str">
        <f>IF(F46&lt;&gt;"",(IF(F46&lt;Info!$E$27,"pipeline","shipping")),"-")</f>
        <v>shipping</v>
      </c>
      <c r="F46">
        <v>2134</v>
      </c>
      <c r="G46" s="1">
        <f>IF(E46="pipeline",F46*pipe_a+pipe_b,F46*ship_a+ship_b)</f>
        <v>54.013599999999997</v>
      </c>
    </row>
    <row r="47" spans="1:7" x14ac:dyDescent="0.25">
      <c r="A47" t="s">
        <v>253</v>
      </c>
      <c r="B47" t="s">
        <v>183</v>
      </c>
      <c r="C47" t="s">
        <v>34</v>
      </c>
      <c r="D47" t="s">
        <v>24</v>
      </c>
      <c r="E47" t="str">
        <f>IF(F47&lt;&gt;"",(IF(F47&lt;Info!$E$27,"pipeline","shipping")),"-")</f>
        <v>shipping</v>
      </c>
      <c r="F47" s="2">
        <v>2467.5</v>
      </c>
      <c r="G47" s="1">
        <f>IF(E47="pipeline",F47*pipe_a+pipe_b,F47*ship_a+ship_b)</f>
        <v>58.149000000000001</v>
      </c>
    </row>
    <row r="48" spans="1:7" x14ac:dyDescent="0.25">
      <c r="A48" t="s">
        <v>253</v>
      </c>
      <c r="B48" t="s">
        <v>183</v>
      </c>
      <c r="C48" t="s">
        <v>15</v>
      </c>
      <c r="D48" t="s">
        <v>20</v>
      </c>
      <c r="E48" t="str">
        <f>IF(F48&lt;&gt;"",(IF(F48&lt;Info!$E$27,"pipeline","shipping")),"-")</f>
        <v>shipping</v>
      </c>
      <c r="F48">
        <v>2760</v>
      </c>
      <c r="G48" s="1">
        <f>IF(E48="pipeline",F48*pipe_a+pipe_b,F48*ship_a+ship_b)</f>
        <v>61.775999999999996</v>
      </c>
    </row>
    <row r="49" spans="1:7" x14ac:dyDescent="0.25">
      <c r="A49" t="s">
        <v>253</v>
      </c>
      <c r="B49" t="s">
        <v>183</v>
      </c>
      <c r="C49" t="s">
        <v>15</v>
      </c>
      <c r="D49" t="s">
        <v>17</v>
      </c>
      <c r="E49" t="str">
        <f>IF(F49&lt;&gt;"",(IF(F49&lt;Info!$E$27,"pipeline","shipping")),"-")</f>
        <v>shipping</v>
      </c>
      <c r="F49">
        <v>2810</v>
      </c>
      <c r="G49" s="1">
        <f>IF(E49="pipeline",F49*pipe_a+pipe_b,F49*ship_a+ship_b)</f>
        <v>62.396000000000001</v>
      </c>
    </row>
    <row r="50" spans="1:7" x14ac:dyDescent="0.25">
      <c r="A50" t="s">
        <v>253</v>
      </c>
      <c r="B50" t="s">
        <v>183</v>
      </c>
      <c r="C50" t="s">
        <v>34</v>
      </c>
      <c r="D50" t="s">
        <v>19</v>
      </c>
      <c r="E50" t="str">
        <f>IF(F50&lt;&gt;"",(IF(F50&lt;Info!$E$27,"pipeline","shipping")),"-")</f>
        <v>shipping</v>
      </c>
      <c r="F50">
        <v>2857</v>
      </c>
      <c r="G50" s="1">
        <f>IF(E50="pipeline",F50*pipe_a+pipe_b,F50*ship_a+ship_b)</f>
        <v>62.9788</v>
      </c>
    </row>
    <row r="51" spans="1:7" x14ac:dyDescent="0.25">
      <c r="A51" t="s">
        <v>253</v>
      </c>
      <c r="B51" t="s">
        <v>183</v>
      </c>
      <c r="C51" t="s">
        <v>15</v>
      </c>
      <c r="D51" t="s">
        <v>19</v>
      </c>
      <c r="E51" t="str">
        <f>IF(F51&lt;&gt;"",(IF(F51&lt;Info!$E$27,"pipeline","shipping")),"-")</f>
        <v>shipping</v>
      </c>
      <c r="F51">
        <v>3673</v>
      </c>
      <c r="G51" s="1">
        <f>IF(E51="pipeline",F51*pipe_a+pipe_b,F51*ship_a+ship_b)</f>
        <v>73.097200000000001</v>
      </c>
    </row>
    <row r="52" spans="1:7" x14ac:dyDescent="0.25">
      <c r="A52" t="s">
        <v>253</v>
      </c>
      <c r="B52" t="s">
        <v>183</v>
      </c>
      <c r="C52" t="s">
        <v>15</v>
      </c>
      <c r="D52" t="s">
        <v>24</v>
      </c>
      <c r="E52" t="str">
        <f>IF(F52&lt;&gt;"",(IF(F52&lt;Info!$E$27,"pipeline","shipping")),"-")</f>
        <v>shipping</v>
      </c>
      <c r="F52">
        <v>3875</v>
      </c>
      <c r="G52" s="1">
        <f>IF(E52="pipeline",F52*pipe_a+pipe_b,F52*ship_a+ship_b)</f>
        <v>75.602000000000004</v>
      </c>
    </row>
    <row r="53" spans="1:7" x14ac:dyDescent="0.25">
      <c r="A53" t="s">
        <v>253</v>
      </c>
      <c r="B53" t="s">
        <v>183</v>
      </c>
      <c r="C53" t="s">
        <v>15</v>
      </c>
      <c r="D53" t="s">
        <v>21</v>
      </c>
      <c r="E53" t="str">
        <f>IF(F53&lt;&gt;"",(IF(F53&lt;Info!$E$27,"pipeline","shipping")),"-")</f>
        <v>shipping</v>
      </c>
      <c r="F53">
        <v>3960</v>
      </c>
      <c r="G53" s="1">
        <f>IF(E53="pipeline",F53*pipe_a+pipe_b,F53*ship_a+ship_b)</f>
        <v>76.656000000000006</v>
      </c>
    </row>
    <row r="54" spans="1:7" x14ac:dyDescent="0.25">
      <c r="A54" t="s">
        <v>253</v>
      </c>
      <c r="B54" t="s">
        <v>183</v>
      </c>
      <c r="C54" t="s">
        <v>15</v>
      </c>
      <c r="D54" t="s">
        <v>14</v>
      </c>
      <c r="E54" t="str">
        <f>IF(F54&lt;&gt;"",(IF(F54&lt;Info!$E$27,"pipeline","shipping")),"-")</f>
        <v>shipping</v>
      </c>
      <c r="F54">
        <v>4486</v>
      </c>
      <c r="G54" s="1">
        <f>IF(E54="pipeline",F54*pipe_a+pipe_b,F54*ship_a+ship_b)</f>
        <v>83.178399999999996</v>
      </c>
    </row>
    <row r="55" spans="1:7" x14ac:dyDescent="0.25">
      <c r="A55" t="s">
        <v>253</v>
      </c>
      <c r="B55" t="s">
        <v>183</v>
      </c>
      <c r="C55" t="s">
        <v>15</v>
      </c>
      <c r="D55" t="s">
        <v>13</v>
      </c>
      <c r="E55" t="str">
        <f>IF(F55&lt;&gt;"",(IF(F55&lt;Info!$E$27,"pipeline","shipping")),"-")</f>
        <v>shipping</v>
      </c>
      <c r="F55">
        <v>4525</v>
      </c>
      <c r="G55" s="1">
        <f>IF(E55="pipeline",F55*pipe_a+pipe_b,F55*ship_a+ship_b)</f>
        <v>83.662000000000006</v>
      </c>
    </row>
    <row r="56" spans="1:7" x14ac:dyDescent="0.25">
      <c r="A56" t="s">
        <v>253</v>
      </c>
      <c r="B56" t="s">
        <v>183</v>
      </c>
      <c r="C56" t="s">
        <v>15</v>
      </c>
      <c r="D56" t="s">
        <v>22</v>
      </c>
      <c r="E56" t="str">
        <f>IF(F56&lt;&gt;"",(IF(F56&lt;Info!$E$27,"pipeline","shipping")),"-")</f>
        <v>shipping</v>
      </c>
      <c r="F56">
        <v>4916</v>
      </c>
      <c r="G56" s="1">
        <f>IF(E56="pipeline",F56*pipe_a+pipe_b,F56*ship_a+ship_b)</f>
        <v>88.510400000000004</v>
      </c>
    </row>
    <row r="57" spans="1:7" x14ac:dyDescent="0.25">
      <c r="A57" t="s">
        <v>253</v>
      </c>
      <c r="B57" t="s">
        <v>183</v>
      </c>
      <c r="C57" t="s">
        <v>17</v>
      </c>
      <c r="D57" t="s">
        <v>19</v>
      </c>
      <c r="E57" t="str">
        <f>IF(F57&lt;&gt;"",(IF(F57&lt;Info!$E$27,"pipeline","shipping")),"-")</f>
        <v>shipping</v>
      </c>
      <c r="F57">
        <v>5600</v>
      </c>
      <c r="G57" s="1">
        <f>IF(E57="pipeline",F57*pipe_a+pipe_b,F57*ship_a+ship_b)</f>
        <v>96.99199999999999</v>
      </c>
    </row>
    <row r="58" spans="1:7" x14ac:dyDescent="0.25">
      <c r="A58" t="s">
        <v>253</v>
      </c>
      <c r="B58" t="s">
        <v>183</v>
      </c>
      <c r="C58" t="s">
        <v>20</v>
      </c>
      <c r="D58" t="s">
        <v>19</v>
      </c>
      <c r="E58" t="str">
        <f>IF(F58&lt;&gt;"",(IF(F58&lt;Info!$E$27,"pipeline","shipping")),"-")</f>
        <v>shipping</v>
      </c>
      <c r="F58">
        <v>5923</v>
      </c>
      <c r="G58" s="1">
        <f>IF(E58="pipeline",F58*pipe_a+pipe_b,F58*ship_a+ship_b)</f>
        <v>100.99719999999999</v>
      </c>
    </row>
    <row r="59" spans="1:7" x14ac:dyDescent="0.25">
      <c r="A59" t="s">
        <v>253</v>
      </c>
      <c r="B59" t="s">
        <v>183</v>
      </c>
      <c r="C59" t="s">
        <v>17</v>
      </c>
      <c r="D59" t="s">
        <v>21</v>
      </c>
      <c r="E59" t="str">
        <f>IF(F59&lt;&gt;"",(IF(F59&lt;Info!$E$27,"pipeline","shipping")),"-")</f>
        <v>shipping</v>
      </c>
      <c r="F59">
        <v>5937</v>
      </c>
      <c r="G59" s="1">
        <f>IF(E59="pipeline",F59*pipe_a+pipe_b,F59*ship_a+ship_b)</f>
        <v>101.17079999999999</v>
      </c>
    </row>
    <row r="60" spans="1:7" x14ac:dyDescent="0.25">
      <c r="A60" t="s">
        <v>253</v>
      </c>
      <c r="B60" t="s">
        <v>183</v>
      </c>
      <c r="C60" t="s">
        <v>17</v>
      </c>
      <c r="D60" t="s">
        <v>24</v>
      </c>
      <c r="E60" t="str">
        <f>IF(F60&lt;&gt;"",(IF(F60&lt;Info!$E$27,"pipeline","shipping")),"-")</f>
        <v>shipping</v>
      </c>
      <c r="F60" s="2">
        <v>6018.5</v>
      </c>
      <c r="G60" s="1">
        <f>IF(E60="pipeline",F60*pipe_a+pipe_b,F60*ship_a+ship_b)</f>
        <v>102.1814</v>
      </c>
    </row>
    <row r="61" spans="1:7" x14ac:dyDescent="0.25">
      <c r="A61" t="s">
        <v>253</v>
      </c>
      <c r="B61" t="s">
        <v>183</v>
      </c>
      <c r="C61" t="s">
        <v>20</v>
      </c>
      <c r="D61" t="s">
        <v>24</v>
      </c>
      <c r="E61" t="str">
        <f>IF(F61&lt;&gt;"",(IF(F61&lt;Info!$E$27,"pipeline","shipping")),"-")</f>
        <v>shipping</v>
      </c>
      <c r="F61">
        <v>6353</v>
      </c>
      <c r="G61" s="1">
        <f>IF(E61="pipeline",F61*pipe_a+pipe_b,F61*ship_a+ship_b)</f>
        <v>106.32919999999999</v>
      </c>
    </row>
    <row r="62" spans="1:7" x14ac:dyDescent="0.25">
      <c r="A62" t="s">
        <v>253</v>
      </c>
      <c r="B62" t="s">
        <v>183</v>
      </c>
      <c r="C62" t="s">
        <v>20</v>
      </c>
      <c r="D62" t="s">
        <v>21</v>
      </c>
      <c r="E62" t="str">
        <f>IF(F62&lt;&gt;"",(IF(F62&lt;Info!$E$27,"pipeline","shipping")),"-")</f>
        <v>shipping</v>
      </c>
      <c r="F62">
        <v>6413</v>
      </c>
      <c r="G62" s="1">
        <f>IF(E62="pipeline",F62*pipe_a+pipe_b,F62*ship_a+ship_b)</f>
        <v>107.07319999999999</v>
      </c>
    </row>
    <row r="63" spans="1:7" x14ac:dyDescent="0.25">
      <c r="A63" t="s">
        <v>253</v>
      </c>
      <c r="B63" t="s">
        <v>183</v>
      </c>
      <c r="C63" t="s">
        <v>17</v>
      </c>
      <c r="D63" t="s">
        <v>14</v>
      </c>
      <c r="E63" t="str">
        <f>IF(F63&lt;&gt;"",(IF(F63&lt;Info!$E$27,"pipeline","shipping")),"-")</f>
        <v>shipping</v>
      </c>
      <c r="F63">
        <v>6461</v>
      </c>
      <c r="G63" s="1">
        <f>IF(E63="pipeline",F63*pipe_a+pipe_b,F63*ship_a+ship_b)</f>
        <v>107.66839999999999</v>
      </c>
    </row>
    <row r="64" spans="1:7" x14ac:dyDescent="0.25">
      <c r="A64" t="s">
        <v>253</v>
      </c>
      <c r="B64" t="s">
        <v>183</v>
      </c>
      <c r="C64" t="s">
        <v>20</v>
      </c>
      <c r="D64" t="s">
        <v>14</v>
      </c>
      <c r="E64" t="str">
        <f>IF(F64&lt;&gt;"",(IF(F64&lt;Info!$E$27,"pipeline","shipping")),"-")</f>
        <v>shipping</v>
      </c>
      <c r="F64">
        <v>6472</v>
      </c>
      <c r="G64" s="1">
        <f>IF(E64="pipeline",F64*pipe_a+pipe_b,F64*ship_a+ship_b)</f>
        <v>107.8048</v>
      </c>
    </row>
    <row r="65" spans="1:7" x14ac:dyDescent="0.25">
      <c r="A65" t="s">
        <v>253</v>
      </c>
      <c r="B65" t="s">
        <v>183</v>
      </c>
      <c r="C65" t="s">
        <v>17</v>
      </c>
      <c r="D65" t="s">
        <v>13</v>
      </c>
      <c r="E65" t="str">
        <f>IF(F65&lt;&gt;"",(IF(F65&lt;Info!$E$27,"pipeline","shipping")),"-")</f>
        <v>shipping</v>
      </c>
      <c r="F65">
        <v>6515</v>
      </c>
      <c r="G65" s="1">
        <f>IF(E65="pipeline",F65*pipe_a+pipe_b,F65*ship_a+ship_b)</f>
        <v>108.33799999999999</v>
      </c>
    </row>
    <row r="66" spans="1:7" x14ac:dyDescent="0.25">
      <c r="A66" t="s">
        <v>253</v>
      </c>
      <c r="B66" t="s">
        <v>183</v>
      </c>
      <c r="C66" t="s">
        <v>20</v>
      </c>
      <c r="D66" t="s">
        <v>13</v>
      </c>
      <c r="E66" t="str">
        <f>IF(F66&lt;&gt;"",(IF(F66&lt;Info!$E$27,"pipeline","shipping")),"-")</f>
        <v>shipping</v>
      </c>
      <c r="F66">
        <v>6770</v>
      </c>
      <c r="G66" s="1">
        <f>IF(E66="pipeline",F66*pipe_a+pipe_b,F66*ship_a+ship_b)</f>
        <v>111.5</v>
      </c>
    </row>
    <row r="67" spans="1:7" x14ac:dyDescent="0.25">
      <c r="A67" t="s">
        <v>253</v>
      </c>
      <c r="B67" t="s">
        <v>183</v>
      </c>
      <c r="C67" t="s">
        <v>17</v>
      </c>
      <c r="D67" t="s">
        <v>22</v>
      </c>
      <c r="E67" t="str">
        <f>IF(F67&lt;&gt;"",(IF(F67&lt;Info!$E$27,"pipeline","shipping")),"-")</f>
        <v>shipping</v>
      </c>
      <c r="F67">
        <v>6899</v>
      </c>
      <c r="G67" s="1">
        <f>IF(E67="pipeline",F67*pipe_a+pipe_b,F67*ship_a+ship_b)</f>
        <v>113.09960000000001</v>
      </c>
    </row>
    <row r="68" spans="1:7" x14ac:dyDescent="0.25">
      <c r="A68" t="s">
        <v>253</v>
      </c>
      <c r="B68" t="s">
        <v>183</v>
      </c>
      <c r="C68" t="s">
        <v>20</v>
      </c>
      <c r="D68" t="s">
        <v>22</v>
      </c>
      <c r="E68" t="str">
        <f>IF(F68&lt;&gt;"",(IF(F68&lt;Info!$E$27,"pipeline","shipping")),"-")</f>
        <v>shipping</v>
      </c>
      <c r="F68">
        <v>7100</v>
      </c>
      <c r="G68" s="1">
        <f>IF(E68="pipeline",F68*pipe_a+pipe_b,F68*ship_a+ship_b)</f>
        <v>115.59199999999998</v>
      </c>
    </row>
    <row r="69" spans="1:7" x14ac:dyDescent="0.25">
      <c r="A69" t="s">
        <v>254</v>
      </c>
      <c r="B69" t="s">
        <v>183</v>
      </c>
      <c r="C69" s="27" t="s">
        <v>39</v>
      </c>
      <c r="D69" s="27" t="s">
        <v>49</v>
      </c>
      <c r="E69" t="str">
        <f>IF(F69&lt;&gt;"",(IF(F69&lt;Info!$E$27,"pipeline","shipping")),"-")</f>
        <v>pipeline</v>
      </c>
      <c r="F69">
        <v>128</v>
      </c>
      <c r="G69" s="1">
        <f>IF(E69="pipeline",F69*pipe_a+pipe_b,F69*ship_a+ship_b)</f>
        <v>5.6716800000000003</v>
      </c>
    </row>
    <row r="70" spans="1:7" x14ac:dyDescent="0.25">
      <c r="A70" t="s">
        <v>254</v>
      </c>
      <c r="B70" t="s">
        <v>183</v>
      </c>
      <c r="C70" s="27" t="s">
        <v>49</v>
      </c>
      <c r="D70" s="27" t="s">
        <v>38</v>
      </c>
      <c r="E70" t="str">
        <f>IF(F70&lt;&gt;"",(IF(F70&lt;Info!$E$27,"pipeline","shipping")),"-")</f>
        <v>pipeline</v>
      </c>
      <c r="F70">
        <v>136</v>
      </c>
      <c r="G70" s="1">
        <f>IF(E70="pipeline",F70*pipe_a+pipe_b,F70*ship_a+ship_b)</f>
        <v>6.02616</v>
      </c>
    </row>
    <row r="71" spans="1:7" x14ac:dyDescent="0.25">
      <c r="A71" t="s">
        <v>254</v>
      </c>
      <c r="B71" t="s">
        <v>183</v>
      </c>
      <c r="C71" s="27" t="s">
        <v>27</v>
      </c>
      <c r="D71" s="27" t="s">
        <v>35</v>
      </c>
      <c r="E71" t="str">
        <f>IF(F71&lt;&gt;"",(IF(F71&lt;Info!$E$27,"pipeline","shipping")),"-")</f>
        <v>pipeline</v>
      </c>
      <c r="F71">
        <v>140</v>
      </c>
      <c r="G71" s="1">
        <f>IF(E71="pipeline",F71*pipe_a+pipe_b,F71*ship_a+ship_b)</f>
        <v>6.2034000000000002</v>
      </c>
    </row>
    <row r="72" spans="1:7" x14ac:dyDescent="0.25">
      <c r="A72" t="s">
        <v>254</v>
      </c>
      <c r="B72" t="s">
        <v>183</v>
      </c>
      <c r="C72" s="27" t="s">
        <v>11</v>
      </c>
      <c r="D72" s="27" t="s">
        <v>39</v>
      </c>
      <c r="E72" t="str">
        <f>IF(F72&lt;&gt;"",(IF(F72&lt;Info!$E$27,"pipeline","shipping")),"-")</f>
        <v>pipeline</v>
      </c>
      <c r="F72">
        <v>146</v>
      </c>
      <c r="G72" s="1">
        <f>IF(E72="pipeline",F72*pipe_a+pipe_b,F72*ship_a+ship_b)</f>
        <v>6.4692600000000002</v>
      </c>
    </row>
    <row r="73" spans="1:7" x14ac:dyDescent="0.25">
      <c r="A73" t="s">
        <v>254</v>
      </c>
      <c r="B73" t="s">
        <v>183</v>
      </c>
      <c r="C73" s="27" t="s">
        <v>18</v>
      </c>
      <c r="D73" s="27" t="s">
        <v>26</v>
      </c>
      <c r="E73" t="str">
        <f>IF(F73&lt;&gt;"",(IF(F73&lt;Info!$E$27,"pipeline","shipping")),"-")</f>
        <v>pipeline</v>
      </c>
      <c r="F73">
        <v>146</v>
      </c>
      <c r="G73" s="1">
        <f>IF(E73="pipeline",F73*pipe_a+pipe_b,F73*ship_a+ship_b)</f>
        <v>6.4692600000000002</v>
      </c>
    </row>
    <row r="74" spans="1:7" x14ac:dyDescent="0.25">
      <c r="A74" t="s">
        <v>254</v>
      </c>
      <c r="B74" t="s">
        <v>183</v>
      </c>
      <c r="C74" s="27" t="s">
        <v>25</v>
      </c>
      <c r="D74" s="27" t="s">
        <v>45</v>
      </c>
      <c r="E74" t="str">
        <f>IF(F74&lt;&gt;"",(IF(F74&lt;Info!$E$27,"pipeline","shipping")),"-")</f>
        <v>pipeline</v>
      </c>
      <c r="F74">
        <v>171</v>
      </c>
      <c r="G74" s="1">
        <f>IF(E74="pipeline",F74*pipe_a+pipe_b,F74*ship_a+ship_b)</f>
        <v>7.5770100000000005</v>
      </c>
    </row>
    <row r="75" spans="1:7" x14ac:dyDescent="0.25">
      <c r="A75" t="s">
        <v>254</v>
      </c>
      <c r="B75" t="s">
        <v>183</v>
      </c>
      <c r="C75" s="27" t="s">
        <v>45</v>
      </c>
      <c r="D75" s="27" t="s">
        <v>18</v>
      </c>
      <c r="E75" t="str">
        <f>IF(F75&lt;&gt;"",(IF(F75&lt;Info!$E$27,"pipeline","shipping")),"-")</f>
        <v>pipeline</v>
      </c>
      <c r="F75">
        <v>172</v>
      </c>
      <c r="G75" s="1">
        <f>IF(E75="pipeline",F75*pipe_a+pipe_b,F75*ship_a+ship_b)</f>
        <v>7.6213200000000008</v>
      </c>
    </row>
    <row r="76" spans="1:7" x14ac:dyDescent="0.25">
      <c r="A76" t="s">
        <v>254</v>
      </c>
      <c r="B76" t="s">
        <v>183</v>
      </c>
      <c r="C76" s="27" t="s">
        <v>46</v>
      </c>
      <c r="D76" s="27" t="s">
        <v>33</v>
      </c>
      <c r="E76" t="str">
        <f>IF(F76&lt;&gt;"",(IF(F76&lt;Info!$E$27,"pipeline","shipping")),"-")</f>
        <v>pipeline</v>
      </c>
      <c r="F76">
        <v>172</v>
      </c>
      <c r="G76" s="1">
        <f>IF(E76="pipeline",F76*pipe_a+pipe_b,F76*ship_a+ship_b)</f>
        <v>7.6213200000000008</v>
      </c>
    </row>
    <row r="77" spans="1:7" x14ac:dyDescent="0.25">
      <c r="A77" t="s">
        <v>254</v>
      </c>
      <c r="B77" t="s">
        <v>183</v>
      </c>
      <c r="C77" s="27" t="s">
        <v>11</v>
      </c>
      <c r="D77" s="27" t="s">
        <v>49</v>
      </c>
      <c r="E77" t="str">
        <f>IF(F77&lt;&gt;"",(IF(F77&lt;Info!$E$27,"pipeline","shipping")),"-")</f>
        <v>pipeline</v>
      </c>
      <c r="F77">
        <v>174</v>
      </c>
      <c r="G77" s="1">
        <f>IF(E77="pipeline",F77*pipe_a+pipe_b,F77*ship_a+ship_b)</f>
        <v>7.7099400000000005</v>
      </c>
    </row>
    <row r="78" spans="1:7" x14ac:dyDescent="0.25">
      <c r="A78" t="s">
        <v>254</v>
      </c>
      <c r="B78" t="s">
        <v>183</v>
      </c>
      <c r="C78" s="27" t="s">
        <v>36</v>
      </c>
      <c r="D78" s="27" t="s">
        <v>34</v>
      </c>
      <c r="E78" t="str">
        <f>IF(F78&lt;&gt;"",(IF(F78&lt;Info!$E$27,"pipeline","shipping")),"-")</f>
        <v>pipeline</v>
      </c>
      <c r="F78">
        <v>181</v>
      </c>
      <c r="G78" s="1">
        <f>IF(E78="pipeline",F78*pipe_a+pipe_b,F78*ship_a+ship_b)</f>
        <v>8.0201100000000007</v>
      </c>
    </row>
    <row r="79" spans="1:7" x14ac:dyDescent="0.25">
      <c r="A79" t="s">
        <v>254</v>
      </c>
      <c r="B79" t="s">
        <v>183</v>
      </c>
      <c r="C79" s="27" t="s">
        <v>49</v>
      </c>
      <c r="D79" s="27" t="s">
        <v>43</v>
      </c>
      <c r="E79" t="str">
        <f>IF(F79&lt;&gt;"",(IF(F79&lt;Info!$E$27,"pipeline","shipping")),"-")</f>
        <v>pipeline</v>
      </c>
      <c r="F79">
        <v>183</v>
      </c>
      <c r="G79" s="1">
        <f>IF(E79="pipeline",F79*pipe_a+pipe_b,F79*ship_a+ship_b)</f>
        <v>8.1087299999999995</v>
      </c>
    </row>
    <row r="80" spans="1:7" x14ac:dyDescent="0.25">
      <c r="A80" t="s">
        <v>254</v>
      </c>
      <c r="B80" t="s">
        <v>183</v>
      </c>
      <c r="C80" s="27" t="s">
        <v>21</v>
      </c>
      <c r="D80" s="27" t="s">
        <v>27</v>
      </c>
      <c r="E80" t="str">
        <f>IF(F80&lt;&gt;"",(IF(F80&lt;Info!$E$27,"pipeline","shipping")),"-")</f>
        <v>pipeline</v>
      </c>
      <c r="F80">
        <v>192</v>
      </c>
      <c r="G80" s="1">
        <f>IF(E80="pipeline",F80*pipe_a+pipe_b,F80*ship_a+ship_b)</f>
        <v>8.5075199999999995</v>
      </c>
    </row>
    <row r="81" spans="1:7" x14ac:dyDescent="0.25">
      <c r="A81" t="s">
        <v>254</v>
      </c>
      <c r="B81" t="s">
        <v>183</v>
      </c>
      <c r="C81" s="27" t="s">
        <v>38</v>
      </c>
      <c r="D81" s="27" t="s">
        <v>26</v>
      </c>
      <c r="E81" t="str">
        <f>IF(F81&lt;&gt;"",(IF(F81&lt;Info!$E$27,"pipeline","shipping")),"-")</f>
        <v>pipeline</v>
      </c>
      <c r="F81">
        <v>194</v>
      </c>
      <c r="G81" s="1">
        <f>IF(E81="pipeline",F81*pipe_a+pipe_b,F81*ship_a+ship_b)</f>
        <v>8.5961400000000001</v>
      </c>
    </row>
    <row r="82" spans="1:7" x14ac:dyDescent="0.25">
      <c r="A82" t="s">
        <v>254</v>
      </c>
      <c r="B82" t="s">
        <v>183</v>
      </c>
      <c r="C82" s="27" t="s">
        <v>11</v>
      </c>
      <c r="D82" s="27" t="s">
        <v>38</v>
      </c>
      <c r="E82" t="str">
        <f>IF(F82&lt;&gt;"",(IF(F82&lt;Info!$E$27,"pipeline","shipping")),"-")</f>
        <v>pipeline</v>
      </c>
      <c r="F82">
        <v>195</v>
      </c>
      <c r="G82" s="1">
        <f>IF(E82="pipeline",F82*pipe_a+pipe_b,F82*ship_a+ship_b)</f>
        <v>8.6404500000000013</v>
      </c>
    </row>
    <row r="83" spans="1:7" x14ac:dyDescent="0.25">
      <c r="A83" t="s">
        <v>254</v>
      </c>
      <c r="B83" t="s">
        <v>183</v>
      </c>
      <c r="C83" s="27" t="s">
        <v>38</v>
      </c>
      <c r="D83" s="27" t="s">
        <v>43</v>
      </c>
      <c r="E83" t="str">
        <f>IF(F83&lt;&gt;"",(IF(F83&lt;Info!$E$27,"pipeline","shipping")),"-")</f>
        <v>pipeline</v>
      </c>
      <c r="F83">
        <v>203</v>
      </c>
      <c r="G83" s="1">
        <f>IF(E83="pipeline",F83*pipe_a+pipe_b,F83*ship_a+ship_b)</f>
        <v>8.9949300000000001</v>
      </c>
    </row>
    <row r="84" spans="1:7" x14ac:dyDescent="0.25">
      <c r="A84" t="s">
        <v>254</v>
      </c>
      <c r="B84" t="s">
        <v>183</v>
      </c>
      <c r="C84" s="27" t="s">
        <v>36</v>
      </c>
      <c r="D84" s="27" t="s">
        <v>31</v>
      </c>
      <c r="E84" t="str">
        <f>IF(F84&lt;&gt;"",(IF(F84&lt;Info!$E$27,"pipeline","shipping")),"-")</f>
        <v>pipeline</v>
      </c>
      <c r="F84">
        <v>206</v>
      </c>
      <c r="G84" s="1">
        <f>IF(E84="pipeline",F84*pipe_a+pipe_b,F84*ship_a+ship_b)</f>
        <v>9.1278600000000001</v>
      </c>
    </row>
    <row r="85" spans="1:7" x14ac:dyDescent="0.25">
      <c r="A85" t="s">
        <v>254</v>
      </c>
      <c r="B85" t="s">
        <v>183</v>
      </c>
      <c r="C85" s="27" t="s">
        <v>22</v>
      </c>
      <c r="D85" s="27" t="s">
        <v>44</v>
      </c>
      <c r="E85" t="str">
        <f>IF(F85&lt;&gt;"",(IF(F85&lt;Info!$E$27,"pipeline","shipping")),"-")</f>
        <v>pipeline</v>
      </c>
      <c r="F85">
        <v>230</v>
      </c>
      <c r="G85" s="1">
        <f>IF(E85="pipeline",F85*pipe_a+pipe_b,F85*ship_a+ship_b)</f>
        <v>10.1913</v>
      </c>
    </row>
    <row r="86" spans="1:7" x14ac:dyDescent="0.25">
      <c r="A86" t="s">
        <v>254</v>
      </c>
      <c r="B86" t="s">
        <v>183</v>
      </c>
      <c r="C86" s="27" t="s">
        <v>43</v>
      </c>
      <c r="D86" s="27" t="s">
        <v>26</v>
      </c>
      <c r="E86" t="str">
        <f>IF(F86&lt;&gt;"",(IF(F86&lt;Info!$E$27,"pipeline","shipping")),"-")</f>
        <v>pipeline</v>
      </c>
      <c r="F86">
        <v>240</v>
      </c>
      <c r="G86" s="1">
        <f>IF(E86="pipeline",F86*pipe_a+pipe_b,F86*ship_a+ship_b)</f>
        <v>10.634400000000001</v>
      </c>
    </row>
    <row r="87" spans="1:7" x14ac:dyDescent="0.25">
      <c r="A87" t="s">
        <v>254</v>
      </c>
      <c r="B87" t="s">
        <v>183</v>
      </c>
      <c r="C87" s="27" t="s">
        <v>30</v>
      </c>
      <c r="D87" s="27" t="s">
        <v>25</v>
      </c>
      <c r="E87" t="str">
        <f>IF(F87&lt;&gt;"",(IF(F87&lt;Info!$E$27,"pipeline","shipping")),"-")</f>
        <v>pipeline</v>
      </c>
      <c r="F87">
        <v>255</v>
      </c>
      <c r="G87" s="1">
        <f>IF(E87="pipeline",F87*pipe_a+pipe_b,F87*ship_a+ship_b)</f>
        <v>11.299050000000001</v>
      </c>
    </row>
    <row r="88" spans="1:7" x14ac:dyDescent="0.25">
      <c r="A88" t="s">
        <v>254</v>
      </c>
      <c r="B88" t="s">
        <v>183</v>
      </c>
      <c r="C88" s="27" t="s">
        <v>39</v>
      </c>
      <c r="D88" s="27" t="s">
        <v>17</v>
      </c>
      <c r="E88" t="str">
        <f>IF(F88&lt;&gt;"",(IF(F88&lt;Info!$E$27,"pipeline","shipping")),"-")</f>
        <v>pipeline</v>
      </c>
      <c r="F88">
        <v>287</v>
      </c>
      <c r="G88" s="1">
        <f>IF(E88="pipeline",F88*pipe_a+pipe_b,F88*ship_a+ship_b)</f>
        <v>12.71697</v>
      </c>
    </row>
    <row r="89" spans="1:7" x14ac:dyDescent="0.25">
      <c r="A89" t="s">
        <v>254</v>
      </c>
      <c r="B89" t="s">
        <v>183</v>
      </c>
      <c r="C89" s="27" t="s">
        <v>48</v>
      </c>
      <c r="D89" s="27" t="s">
        <v>37</v>
      </c>
      <c r="E89" t="str">
        <f>IF(F89&lt;&gt;"",(IF(F89&lt;Info!$E$27,"pipeline","shipping")),"-")</f>
        <v>pipeline</v>
      </c>
      <c r="F89">
        <v>297</v>
      </c>
      <c r="G89" s="1">
        <f>IF(E89="pipeline",F89*pipe_a+pipe_b,F89*ship_a+ship_b)</f>
        <v>13.160070000000001</v>
      </c>
    </row>
    <row r="90" spans="1:7" x14ac:dyDescent="0.25">
      <c r="A90" t="s">
        <v>254</v>
      </c>
      <c r="B90" t="s">
        <v>183</v>
      </c>
      <c r="C90" s="27" t="s">
        <v>43</v>
      </c>
      <c r="D90" s="27" t="s">
        <v>39</v>
      </c>
      <c r="E90" t="str">
        <f>IF(F90&lt;&gt;"",(IF(F90&lt;Info!$E$27,"pipeline","shipping")),"-")</f>
        <v>pipeline</v>
      </c>
      <c r="F90">
        <v>301</v>
      </c>
      <c r="G90" s="1">
        <f>IF(E90="pipeline",F90*pipe_a+pipe_b,F90*ship_a+ship_b)</f>
        <v>13.33731</v>
      </c>
    </row>
    <row r="91" spans="1:7" x14ac:dyDescent="0.25">
      <c r="A91" t="s">
        <v>254</v>
      </c>
      <c r="B91" t="s">
        <v>183</v>
      </c>
      <c r="C91" s="27" t="s">
        <v>23</v>
      </c>
      <c r="D91" s="27" t="s">
        <v>37</v>
      </c>
      <c r="E91" t="str">
        <f>IF(F91&lt;&gt;"",(IF(F91&lt;Info!$E$27,"pipeline","shipping")),"-")</f>
        <v>pipeline</v>
      </c>
      <c r="F91">
        <v>307</v>
      </c>
      <c r="G91" s="1">
        <f>IF(E91="pipeline",F91*pipe_a+pipe_b,F91*ship_a+ship_b)</f>
        <v>13.60317</v>
      </c>
    </row>
    <row r="92" spans="1:7" x14ac:dyDescent="0.25">
      <c r="A92" t="s">
        <v>254</v>
      </c>
      <c r="B92" t="s">
        <v>183</v>
      </c>
      <c r="C92" s="27" t="s">
        <v>39</v>
      </c>
      <c r="D92" s="27" t="s">
        <v>12</v>
      </c>
      <c r="E92" t="str">
        <f>IF(F92&lt;&gt;"",(IF(F92&lt;Info!$E$27,"pipeline","shipping")),"-")</f>
        <v>pipeline</v>
      </c>
      <c r="F92">
        <v>319</v>
      </c>
      <c r="G92" s="1">
        <f>IF(E92="pipeline",F92*pipe_a+pipe_b,F92*ship_a+ship_b)</f>
        <v>14.13489</v>
      </c>
    </row>
    <row r="93" spans="1:7" x14ac:dyDescent="0.25">
      <c r="A93" t="s">
        <v>254</v>
      </c>
      <c r="B93" t="s">
        <v>183</v>
      </c>
      <c r="C93" s="27" t="s">
        <v>11</v>
      </c>
      <c r="D93" s="27" t="s">
        <v>17</v>
      </c>
      <c r="E93" t="str">
        <f>IF(F93&lt;&gt;"",(IF(F93&lt;Info!$E$27,"pipeline","shipping")),"-")</f>
        <v>pipeline</v>
      </c>
      <c r="F93">
        <v>320</v>
      </c>
      <c r="G93" s="1">
        <f>IF(E93="pipeline",F93*pipe_a+pipe_b,F93*ship_a+ship_b)</f>
        <v>14.179200000000002</v>
      </c>
    </row>
    <row r="94" spans="1:7" x14ac:dyDescent="0.25">
      <c r="A94" t="s">
        <v>254</v>
      </c>
      <c r="B94" t="s">
        <v>183</v>
      </c>
      <c r="C94" s="27" t="s">
        <v>46</v>
      </c>
      <c r="D94" s="27" t="s">
        <v>30</v>
      </c>
      <c r="E94" t="str">
        <f>IF(F94&lt;&gt;"",(IF(F94&lt;Info!$E$27,"pipeline","shipping")),"-")</f>
        <v>pipeline</v>
      </c>
      <c r="F94">
        <v>324</v>
      </c>
      <c r="G94" s="1">
        <f>IF(E94="pipeline",F94*pipe_a+pipe_b,F94*ship_a+ship_b)</f>
        <v>14.356440000000001</v>
      </c>
    </row>
    <row r="95" spans="1:7" x14ac:dyDescent="0.25">
      <c r="A95" t="s">
        <v>254</v>
      </c>
      <c r="B95" t="s">
        <v>183</v>
      </c>
      <c r="C95" s="27" t="s">
        <v>13</v>
      </c>
      <c r="D95" s="27" t="s">
        <v>35</v>
      </c>
      <c r="E95" t="str">
        <f>IF(F95&lt;&gt;"",(IF(F95&lt;Info!$E$27,"pipeline","shipping")),"-")</f>
        <v>pipeline</v>
      </c>
      <c r="F95">
        <v>339</v>
      </c>
      <c r="G95" s="1">
        <f>IF(E95="pipeline",F95*pipe_a+pipe_b,F95*ship_a+ship_b)</f>
        <v>15.021090000000001</v>
      </c>
    </row>
    <row r="96" spans="1:7" x14ac:dyDescent="0.25">
      <c r="A96" t="s">
        <v>254</v>
      </c>
      <c r="B96" t="s">
        <v>183</v>
      </c>
      <c r="C96" s="27" t="s">
        <v>18</v>
      </c>
      <c r="D96" s="27" t="s">
        <v>38</v>
      </c>
      <c r="E96" t="str">
        <f>IF(F96&lt;&gt;"",(IF(F96&lt;Info!$E$27,"pipeline","shipping")),"-")</f>
        <v>pipeline</v>
      </c>
      <c r="F96">
        <v>339</v>
      </c>
      <c r="G96" s="1">
        <f>IF(E96="pipeline",F96*pipe_a+pipe_b,F96*ship_a+ship_b)</f>
        <v>15.021090000000001</v>
      </c>
    </row>
    <row r="97" spans="1:7" x14ac:dyDescent="0.25">
      <c r="A97" t="s">
        <v>254</v>
      </c>
      <c r="B97" t="s">
        <v>183</v>
      </c>
      <c r="C97" s="27" t="s">
        <v>23</v>
      </c>
      <c r="D97" s="27" t="s">
        <v>12</v>
      </c>
      <c r="E97" t="str">
        <f>IF(F97&lt;&gt;"",(IF(F97&lt;Info!$E$27,"pipeline","shipping")),"-")</f>
        <v>pipeline</v>
      </c>
      <c r="F97">
        <v>343</v>
      </c>
      <c r="G97" s="1">
        <f>IF(E97="pipeline",F97*pipe_a+pipe_b,F97*ship_a+ship_b)</f>
        <v>15.19833</v>
      </c>
    </row>
    <row r="98" spans="1:7" x14ac:dyDescent="0.25">
      <c r="A98" t="s">
        <v>254</v>
      </c>
      <c r="B98" t="s">
        <v>183</v>
      </c>
      <c r="C98" s="27" t="s">
        <v>43</v>
      </c>
      <c r="D98" s="27" t="s">
        <v>33</v>
      </c>
      <c r="E98" t="str">
        <f>IF(F98&lt;&gt;"",(IF(F98&lt;Info!$E$27,"pipeline","shipping")),"-")</f>
        <v>pipeline</v>
      </c>
      <c r="F98">
        <v>343</v>
      </c>
      <c r="G98" s="1">
        <f>IF(E98="pipeline",F98*pipe_a+pipe_b,F98*ship_a+ship_b)</f>
        <v>15.19833</v>
      </c>
    </row>
    <row r="99" spans="1:7" x14ac:dyDescent="0.25">
      <c r="A99" t="s">
        <v>254</v>
      </c>
      <c r="B99" t="s">
        <v>183</v>
      </c>
      <c r="C99" s="27" t="s">
        <v>13</v>
      </c>
      <c r="D99" s="27" t="s">
        <v>21</v>
      </c>
      <c r="E99" t="str">
        <f>IF(F99&lt;&gt;"",(IF(F99&lt;Info!$E$27,"pipeline","shipping")),"-")</f>
        <v>pipeline</v>
      </c>
      <c r="F99">
        <v>356</v>
      </c>
      <c r="G99" s="1">
        <f>IF(E99="pipeline",F99*pipe_a+pipe_b,F99*ship_a+ship_b)</f>
        <v>15.774360000000001</v>
      </c>
    </row>
    <row r="100" spans="1:7" x14ac:dyDescent="0.25">
      <c r="A100" t="s">
        <v>254</v>
      </c>
      <c r="B100" t="s">
        <v>183</v>
      </c>
      <c r="C100" s="27" t="s">
        <v>43</v>
      </c>
      <c r="D100" s="27" t="s">
        <v>18</v>
      </c>
      <c r="E100" t="str">
        <f>IF(F100&lt;&gt;"",(IF(F100&lt;Info!$E$27,"pipeline","shipping")),"-")</f>
        <v>pipeline</v>
      </c>
      <c r="F100">
        <v>360</v>
      </c>
      <c r="G100" s="1">
        <f>IF(E100="pipeline",F100*pipe_a+pipe_b,F100*ship_a+ship_b)</f>
        <v>15.951600000000001</v>
      </c>
    </row>
    <row r="101" spans="1:7" x14ac:dyDescent="0.25">
      <c r="A101" t="s">
        <v>254</v>
      </c>
      <c r="B101" t="s">
        <v>183</v>
      </c>
      <c r="C101" s="27" t="s">
        <v>24</v>
      </c>
      <c r="D101" s="27" t="s">
        <v>19</v>
      </c>
      <c r="E101" t="str">
        <f>IF(F101&lt;&gt;"",(IF(F101&lt;Info!$E$27,"pipeline","shipping")),"-")</f>
        <v>pipeline</v>
      </c>
      <c r="F101">
        <v>364</v>
      </c>
      <c r="G101" s="1">
        <f>IF(E101="pipeline",F101*pipe_a+pipe_b,F101*ship_a+ship_b)</f>
        <v>16.12884</v>
      </c>
    </row>
    <row r="102" spans="1:7" x14ac:dyDescent="0.25">
      <c r="A102" t="s">
        <v>254</v>
      </c>
      <c r="B102" t="s">
        <v>183</v>
      </c>
      <c r="C102" s="27" t="s">
        <v>45</v>
      </c>
      <c r="D102" s="27" t="s">
        <v>33</v>
      </c>
      <c r="E102" t="str">
        <f>IF(F102&lt;&gt;"",(IF(F102&lt;Info!$E$27,"pipeline","shipping")),"-")</f>
        <v>pipeline</v>
      </c>
      <c r="F102">
        <v>370</v>
      </c>
      <c r="G102" s="1">
        <f>IF(E102="pipeline",F102*pipe_a+pipe_b,F102*ship_a+ship_b)</f>
        <v>16.3947</v>
      </c>
    </row>
    <row r="103" spans="1:7" x14ac:dyDescent="0.25">
      <c r="A103" t="s">
        <v>254</v>
      </c>
      <c r="B103" t="s">
        <v>183</v>
      </c>
      <c r="C103" s="27" t="s">
        <v>43</v>
      </c>
      <c r="D103" s="27" t="s">
        <v>23</v>
      </c>
      <c r="E103" t="str">
        <f>IF(F103&lt;&gt;"",(IF(F103&lt;Info!$E$27,"pipeline","shipping")),"-")</f>
        <v>pipeline</v>
      </c>
      <c r="F103">
        <v>376</v>
      </c>
      <c r="G103" s="1">
        <f>IF(E103="pipeline",F103*pipe_a+pipe_b,F103*ship_a+ship_b)</f>
        <v>16.66056</v>
      </c>
    </row>
    <row r="104" spans="1:7" x14ac:dyDescent="0.25">
      <c r="A104" t="s">
        <v>254</v>
      </c>
      <c r="B104" t="s">
        <v>183</v>
      </c>
      <c r="C104" s="27" t="s">
        <v>41</v>
      </c>
      <c r="D104" s="27" t="s">
        <v>46</v>
      </c>
      <c r="E104" t="str">
        <f>IF(F104&lt;&gt;"",(IF(F104&lt;Info!$E$27,"pipeline","shipping")),"-")</f>
        <v>pipeline</v>
      </c>
      <c r="F104">
        <v>380</v>
      </c>
      <c r="G104" s="1">
        <f>IF(E104="pipeline",F104*pipe_a+pipe_b,F104*ship_a+ship_b)</f>
        <v>16.837800000000001</v>
      </c>
    </row>
    <row r="105" spans="1:7" x14ac:dyDescent="0.25">
      <c r="A105" t="s">
        <v>254</v>
      </c>
      <c r="B105" t="s">
        <v>183</v>
      </c>
      <c r="C105" s="27" t="s">
        <v>13</v>
      </c>
      <c r="D105" s="27" t="s">
        <v>30</v>
      </c>
      <c r="E105" t="str">
        <f>IF(F105&lt;&gt;"",(IF(F105&lt;Info!$E$27,"pipeline","shipping")),"-")</f>
        <v>pipeline</v>
      </c>
      <c r="F105">
        <v>383</v>
      </c>
      <c r="G105" s="1">
        <f>IF(E105="pipeline",F105*pipe_a+pipe_b,F105*ship_a+ship_b)</f>
        <v>16.97073</v>
      </c>
    </row>
    <row r="106" spans="1:7" x14ac:dyDescent="0.25">
      <c r="A106" t="s">
        <v>254</v>
      </c>
      <c r="B106" t="s">
        <v>183</v>
      </c>
      <c r="C106" s="27" t="s">
        <v>41</v>
      </c>
      <c r="D106" s="27" t="s">
        <v>30</v>
      </c>
      <c r="E106" t="str">
        <f>IF(F106&lt;&gt;"",(IF(F106&lt;Info!$E$27,"pipeline","shipping")),"-")</f>
        <v>pipeline</v>
      </c>
      <c r="F106">
        <v>390</v>
      </c>
      <c r="G106" s="1">
        <f>IF(E106="pipeline",F106*pipe_a+pipe_b,F106*ship_a+ship_b)</f>
        <v>17.280900000000003</v>
      </c>
    </row>
    <row r="107" spans="1:7" x14ac:dyDescent="0.25">
      <c r="A107" t="s">
        <v>254</v>
      </c>
      <c r="B107" t="s">
        <v>183</v>
      </c>
      <c r="C107" s="27" t="s">
        <v>42</v>
      </c>
      <c r="D107" s="27" t="s">
        <v>15</v>
      </c>
      <c r="E107" t="str">
        <f>IF(F107&lt;&gt;"",(IF(F107&lt;Info!$E$27,"pipeline","shipping")),"-")</f>
        <v>pipeline</v>
      </c>
      <c r="F107">
        <v>390</v>
      </c>
      <c r="G107" s="1">
        <f>IF(E107="pipeline",F107*pipe_a+pipe_b,F107*ship_a+ship_b)</f>
        <v>17.280900000000003</v>
      </c>
    </row>
    <row r="108" spans="1:7" x14ac:dyDescent="0.25">
      <c r="A108" t="s">
        <v>254</v>
      </c>
      <c r="B108" t="s">
        <v>183</v>
      </c>
      <c r="C108" s="27" t="s">
        <v>43</v>
      </c>
      <c r="D108" s="27" t="s">
        <v>12</v>
      </c>
      <c r="E108" t="str">
        <f>IF(F108&lt;&gt;"",(IF(F108&lt;Info!$E$27,"pipeline","shipping")),"-")</f>
        <v>pipeline</v>
      </c>
      <c r="F108">
        <v>395</v>
      </c>
      <c r="G108" s="1">
        <f>IF(E108="pipeline",F108*pipe_a+pipe_b,F108*ship_a+ship_b)</f>
        <v>17.50245</v>
      </c>
    </row>
    <row r="109" spans="1:7" x14ac:dyDescent="0.25">
      <c r="A109" t="s">
        <v>254</v>
      </c>
      <c r="B109" t="s">
        <v>183</v>
      </c>
      <c r="C109" s="27" t="s">
        <v>25</v>
      </c>
      <c r="D109" s="27" t="s">
        <v>33</v>
      </c>
      <c r="E109" t="str">
        <f>IF(F109&lt;&gt;"",(IF(F109&lt;Info!$E$27,"pipeline","shipping")),"-")</f>
        <v>pipeline</v>
      </c>
      <c r="F109">
        <v>401</v>
      </c>
      <c r="G109" s="1">
        <f>IF(E109="pipeline",F109*pipe_a+pipe_b,F109*ship_a+ship_b)</f>
        <v>17.76831</v>
      </c>
    </row>
    <row r="110" spans="1:7" x14ac:dyDescent="0.25">
      <c r="A110" t="s">
        <v>254</v>
      </c>
      <c r="B110" t="s">
        <v>183</v>
      </c>
      <c r="C110" s="27" t="s">
        <v>13</v>
      </c>
      <c r="D110" s="27" t="s">
        <v>27</v>
      </c>
      <c r="E110" t="str">
        <f>IF(F110&lt;&gt;"",(IF(F110&lt;Info!$E$27,"pipeline","shipping")),"-")</f>
        <v>pipeline</v>
      </c>
      <c r="F110">
        <v>407</v>
      </c>
      <c r="G110" s="1">
        <f>IF(E110="pipeline",F110*pipe_a+pipe_b,F110*ship_a+ship_b)</f>
        <v>18.03417</v>
      </c>
    </row>
    <row r="111" spans="1:7" x14ac:dyDescent="0.25">
      <c r="A111" t="s">
        <v>254</v>
      </c>
      <c r="B111" t="s">
        <v>183</v>
      </c>
      <c r="C111" s="27" t="s">
        <v>46</v>
      </c>
      <c r="D111" s="27" t="s">
        <v>25</v>
      </c>
      <c r="E111" t="str">
        <f>IF(F111&lt;&gt;"",(IF(F111&lt;Info!$E$27,"pipeline","shipping")),"-")</f>
        <v>pipeline</v>
      </c>
      <c r="F111">
        <v>416</v>
      </c>
      <c r="G111" s="1">
        <f>IF(E111="pipeline",F111*pipe_a+pipe_b,F111*ship_a+ship_b)</f>
        <v>18.432960000000001</v>
      </c>
    </row>
    <row r="112" spans="1:7" x14ac:dyDescent="0.25">
      <c r="A112" t="s">
        <v>254</v>
      </c>
      <c r="B112" t="s">
        <v>183</v>
      </c>
      <c r="C112" s="27" t="s">
        <v>20</v>
      </c>
      <c r="D112" s="27" t="s">
        <v>18</v>
      </c>
      <c r="E112" t="str">
        <f>IF(F112&lt;&gt;"",(IF(F112&lt;Info!$E$27,"pipeline","shipping")),"-")</f>
        <v>pipeline</v>
      </c>
      <c r="F112">
        <v>428</v>
      </c>
      <c r="G112" s="1">
        <f>IF(E112="pipeline",F112*pipe_a+pipe_b,F112*ship_a+ship_b)</f>
        <v>18.964680000000001</v>
      </c>
    </row>
    <row r="113" spans="1:7" x14ac:dyDescent="0.25">
      <c r="A113" t="s">
        <v>254</v>
      </c>
      <c r="B113" t="s">
        <v>183</v>
      </c>
      <c r="C113" s="27" t="s">
        <v>16</v>
      </c>
      <c r="D113" s="27" t="s">
        <v>28</v>
      </c>
      <c r="E113" t="str">
        <f>IF(F113&lt;&gt;"",(IF(F113&lt;Info!$E$27,"pipeline","shipping")),"-")</f>
        <v>pipeline</v>
      </c>
      <c r="F113">
        <v>435</v>
      </c>
      <c r="G113" s="1">
        <f>IF(E113="pipeline",F113*pipe_a+pipe_b,F113*ship_a+ship_b)</f>
        <v>19.274850000000001</v>
      </c>
    </row>
    <row r="114" spans="1:7" x14ac:dyDescent="0.25">
      <c r="A114" t="s">
        <v>254</v>
      </c>
      <c r="B114" t="s">
        <v>183</v>
      </c>
      <c r="C114" s="27" t="s">
        <v>35</v>
      </c>
      <c r="D114" s="27" t="s">
        <v>16</v>
      </c>
      <c r="E114" t="str">
        <f>IF(F114&lt;&gt;"",(IF(F114&lt;Info!$E$27,"pipeline","shipping")),"-")</f>
        <v>pipeline</v>
      </c>
      <c r="F114">
        <v>444</v>
      </c>
      <c r="G114" s="1">
        <f>IF(E114="pipeline",F114*pipe_a+pipe_b,F114*ship_a+ship_b)</f>
        <v>19.673640000000002</v>
      </c>
    </row>
    <row r="115" spans="1:7" x14ac:dyDescent="0.25">
      <c r="A115" t="s">
        <v>254</v>
      </c>
      <c r="B115" t="s">
        <v>183</v>
      </c>
      <c r="C115" s="27" t="s">
        <v>17</v>
      </c>
      <c r="D115" s="27" t="s">
        <v>12</v>
      </c>
      <c r="E115" t="str">
        <f>IF(F115&lt;&gt;"",(IF(F115&lt;Info!$E$27,"pipeline","shipping")),"-")</f>
        <v>pipeline</v>
      </c>
      <c r="F115">
        <v>450</v>
      </c>
      <c r="G115" s="1">
        <f>IF(E115="pipeline",F115*pipe_a+pipe_b,F115*ship_a+ship_b)</f>
        <v>19.939500000000002</v>
      </c>
    </row>
    <row r="116" spans="1:7" x14ac:dyDescent="0.25">
      <c r="A116" t="s">
        <v>254</v>
      </c>
      <c r="B116" t="s">
        <v>183</v>
      </c>
      <c r="C116" s="27" t="s">
        <v>23</v>
      </c>
      <c r="D116" s="27" t="s">
        <v>33</v>
      </c>
      <c r="E116" t="str">
        <f>IF(F116&lt;&gt;"",(IF(F116&lt;Info!$E$27,"pipeline","shipping")),"-")</f>
        <v>pipeline</v>
      </c>
      <c r="F116">
        <v>452</v>
      </c>
      <c r="G116" s="1">
        <f>IF(E116="pipeline",F116*pipe_a+pipe_b,F116*ship_a+ship_b)</f>
        <v>20.028120000000001</v>
      </c>
    </row>
    <row r="117" spans="1:7" x14ac:dyDescent="0.25">
      <c r="A117" t="s">
        <v>254</v>
      </c>
      <c r="B117" t="s">
        <v>183</v>
      </c>
      <c r="C117" s="27" t="s">
        <v>28</v>
      </c>
      <c r="D117" s="27" t="s">
        <v>25</v>
      </c>
      <c r="E117" t="str">
        <f>IF(F117&lt;&gt;"",(IF(F117&lt;Info!$E$27,"pipeline","shipping")),"-")</f>
        <v>pipeline</v>
      </c>
      <c r="F117">
        <v>456</v>
      </c>
      <c r="G117" s="1">
        <f>IF(E117="pipeline",F117*pipe_a+pipe_b,F117*ship_a+ship_b)</f>
        <v>20.205360000000002</v>
      </c>
    </row>
    <row r="118" spans="1:7" x14ac:dyDescent="0.25">
      <c r="A118" t="s">
        <v>254</v>
      </c>
      <c r="B118" t="s">
        <v>183</v>
      </c>
      <c r="C118" s="27" t="s">
        <v>41</v>
      </c>
      <c r="D118" s="27" t="s">
        <v>34</v>
      </c>
      <c r="E118" t="str">
        <f>IF(F118&lt;&gt;"",(IF(F118&lt;Info!$E$27,"pipeline","shipping")),"-")</f>
        <v>pipeline</v>
      </c>
      <c r="F118">
        <v>465</v>
      </c>
      <c r="G118" s="1">
        <f>IF(E118="pipeline",F118*pipe_a+pipe_b,F118*ship_a+ship_b)</f>
        <v>20.604150000000001</v>
      </c>
    </row>
    <row r="119" spans="1:7" x14ac:dyDescent="0.25">
      <c r="A119" t="s">
        <v>254</v>
      </c>
      <c r="B119" t="s">
        <v>183</v>
      </c>
      <c r="C119" s="27" t="s">
        <v>13</v>
      </c>
      <c r="D119" s="27" t="s">
        <v>25</v>
      </c>
      <c r="E119" t="str">
        <f>IF(F119&lt;&gt;"",(IF(F119&lt;Info!$E$27,"pipeline","shipping")),"-")</f>
        <v>pipeline</v>
      </c>
      <c r="F119">
        <v>477</v>
      </c>
      <c r="G119" s="1">
        <f>IF(E119="pipeline",F119*pipe_a+pipe_b,F119*ship_a+ship_b)</f>
        <v>21.135870000000001</v>
      </c>
    </row>
    <row r="120" spans="1:7" x14ac:dyDescent="0.25">
      <c r="A120" t="s">
        <v>254</v>
      </c>
      <c r="B120" t="s">
        <v>183</v>
      </c>
      <c r="C120" s="27" t="s">
        <v>47</v>
      </c>
      <c r="D120" s="27" t="s">
        <v>29</v>
      </c>
      <c r="E120" t="str">
        <f>IF(F120&lt;&gt;"",(IF(F120&lt;Info!$E$27,"pipeline","shipping")),"-")</f>
        <v>pipeline</v>
      </c>
      <c r="F120">
        <v>478</v>
      </c>
      <c r="G120" s="1">
        <f>IF(E120="pipeline",F120*pipe_a+pipe_b,F120*ship_a+ship_b)</f>
        <v>21.18018</v>
      </c>
    </row>
    <row r="121" spans="1:7" x14ac:dyDescent="0.25">
      <c r="A121" t="s">
        <v>254</v>
      </c>
      <c r="B121" t="s">
        <v>183</v>
      </c>
      <c r="C121" s="27" t="s">
        <v>16</v>
      </c>
      <c r="D121" s="27" t="s">
        <v>27</v>
      </c>
      <c r="E121" t="str">
        <f>IF(F121&lt;&gt;"",(IF(F121&lt;Info!$E$27,"pipeline","shipping")),"-")</f>
        <v>pipeline</v>
      </c>
      <c r="F121">
        <v>480</v>
      </c>
      <c r="G121" s="1">
        <f>IF(E121="pipeline",F121*pipe_a+pipe_b,F121*ship_a+ship_b)</f>
        <v>21.268800000000002</v>
      </c>
    </row>
    <row r="122" spans="1:7" x14ac:dyDescent="0.25">
      <c r="A122" t="s">
        <v>254</v>
      </c>
      <c r="B122" t="s">
        <v>183</v>
      </c>
      <c r="C122" s="27" t="s">
        <v>13</v>
      </c>
      <c r="D122" s="27" t="s">
        <v>28</v>
      </c>
      <c r="E122" t="str">
        <f>IF(F122&lt;&gt;"",(IF(F122&lt;Info!$E$27,"pipeline","shipping")),"-")</f>
        <v>pipeline</v>
      </c>
      <c r="F122">
        <v>505</v>
      </c>
      <c r="G122" s="1">
        <f>IF(E122="pipeline",F122*pipe_a+pipe_b,F122*ship_a+ship_b)</f>
        <v>22.376550000000002</v>
      </c>
    </row>
    <row r="123" spans="1:7" x14ac:dyDescent="0.25">
      <c r="A123" t="s">
        <v>254</v>
      </c>
      <c r="B123" t="s">
        <v>183</v>
      </c>
      <c r="C123" s="27" t="s">
        <v>44</v>
      </c>
      <c r="D123" s="27" t="s">
        <v>32</v>
      </c>
      <c r="E123" t="str">
        <f>IF(F123&lt;&gt;"",(IF(F123&lt;Info!$E$27,"pipeline","shipping")),"-")</f>
        <v>pipeline</v>
      </c>
      <c r="F123">
        <v>506</v>
      </c>
      <c r="G123" s="1">
        <f>IF(E123="pipeline",F123*pipe_a+pipe_b,F123*ship_a+ship_b)</f>
        <v>22.420860000000001</v>
      </c>
    </row>
    <row r="124" spans="1:7" x14ac:dyDescent="0.25">
      <c r="A124" t="s">
        <v>254</v>
      </c>
      <c r="B124" t="s">
        <v>183</v>
      </c>
      <c r="C124" s="27" t="s">
        <v>20</v>
      </c>
      <c r="D124" s="27" t="s">
        <v>28</v>
      </c>
      <c r="E124" t="str">
        <f>IF(F124&lt;&gt;"",(IF(F124&lt;Info!$E$27,"pipeline","shipping")),"-")</f>
        <v>pipeline</v>
      </c>
      <c r="F124">
        <v>539</v>
      </c>
      <c r="G124" s="1">
        <f>IF(E124="pipeline",F124*pipe_a+pipe_b,F124*ship_a+ship_b)</f>
        <v>23.883090000000003</v>
      </c>
    </row>
    <row r="125" spans="1:7" x14ac:dyDescent="0.25">
      <c r="A125" t="s">
        <v>254</v>
      </c>
      <c r="B125" t="s">
        <v>183</v>
      </c>
      <c r="C125" s="27" t="s">
        <v>14</v>
      </c>
      <c r="D125" s="27" t="s">
        <v>13</v>
      </c>
      <c r="E125" t="str">
        <f>IF(F125&lt;&gt;"",(IF(F125&lt;Info!$E$27,"pipeline","shipping")),"-")</f>
        <v>pipeline</v>
      </c>
      <c r="F125">
        <v>541</v>
      </c>
      <c r="G125" s="1">
        <f>IF(E125="pipeline",F125*pipe_a+pipe_b,F125*ship_a+ship_b)</f>
        <v>23.971710000000002</v>
      </c>
    </row>
    <row r="126" spans="1:7" x14ac:dyDescent="0.25">
      <c r="A126" t="s">
        <v>254</v>
      </c>
      <c r="B126" t="s">
        <v>183</v>
      </c>
      <c r="C126" s="27" t="s">
        <v>20</v>
      </c>
      <c r="D126" s="27" t="s">
        <v>25</v>
      </c>
      <c r="E126" t="str">
        <f>IF(F126&lt;&gt;"",(IF(F126&lt;Info!$E$27,"pipeline","shipping")),"-")</f>
        <v>pipeline</v>
      </c>
      <c r="F126">
        <v>557</v>
      </c>
      <c r="G126" s="1">
        <f>IF(E126="pipeline",F126*pipe_a+pipe_b,F126*ship_a+ship_b)</f>
        <v>24.680670000000003</v>
      </c>
    </row>
    <row r="127" spans="1:7" x14ac:dyDescent="0.25">
      <c r="A127" t="s">
        <v>254</v>
      </c>
      <c r="B127" t="s">
        <v>183</v>
      </c>
      <c r="C127" s="27" t="s">
        <v>22</v>
      </c>
      <c r="D127" s="27" t="s">
        <v>32</v>
      </c>
      <c r="E127" t="str">
        <f>IF(F127&lt;&gt;"",(IF(F127&lt;Info!$E$27,"pipeline","shipping")),"-")</f>
        <v>pipeline</v>
      </c>
      <c r="F127">
        <v>584</v>
      </c>
      <c r="G127" s="1">
        <f>IF(E127="pipeline",F127*pipe_a+pipe_b,F127*ship_a+ship_b)</f>
        <v>25.877040000000001</v>
      </c>
    </row>
    <row r="128" spans="1:7" x14ac:dyDescent="0.25">
      <c r="A128" t="s">
        <v>254</v>
      </c>
      <c r="B128" t="s">
        <v>183</v>
      </c>
      <c r="C128" s="27" t="s">
        <v>20</v>
      </c>
      <c r="D128" s="27" t="s">
        <v>38</v>
      </c>
      <c r="E128" t="str">
        <f>IF(F128&lt;&gt;"",(IF(F128&lt;Info!$E$27,"pipeline","shipping")),"-")</f>
        <v>pipeline</v>
      </c>
      <c r="F128">
        <v>587</v>
      </c>
      <c r="G128" s="1">
        <f>IF(E128="pipeline",F128*pipe_a+pipe_b,F128*ship_a+ship_b)</f>
        <v>26.009970000000003</v>
      </c>
    </row>
    <row r="129" spans="1:7" x14ac:dyDescent="0.25">
      <c r="A129" t="s">
        <v>254</v>
      </c>
      <c r="B129" t="s">
        <v>183</v>
      </c>
      <c r="C129" s="27" t="s">
        <v>41</v>
      </c>
      <c r="D129" s="27" t="s">
        <v>13</v>
      </c>
      <c r="E129" t="str">
        <f>IF(F129&lt;&gt;"",(IF(F129&lt;Info!$E$27,"pipeline","shipping")),"-")</f>
        <v>pipeline</v>
      </c>
      <c r="F129">
        <v>634</v>
      </c>
      <c r="G129" s="1">
        <f>IF(E129="pipeline",F129*pipe_a+pipe_b,F129*ship_a+ship_b)</f>
        <v>28.09254</v>
      </c>
    </row>
    <row r="130" spans="1:7" x14ac:dyDescent="0.25">
      <c r="A130" t="s">
        <v>254</v>
      </c>
      <c r="B130" t="s">
        <v>183</v>
      </c>
      <c r="C130" s="27" t="s">
        <v>32</v>
      </c>
      <c r="D130" s="27" t="s">
        <v>31</v>
      </c>
      <c r="E130" t="str">
        <f>IF(F130&lt;&gt;"",(IF(F130&lt;Info!$E$27,"pipeline","shipping")),"-")</f>
        <v>pipeline</v>
      </c>
      <c r="F130">
        <v>648</v>
      </c>
      <c r="G130" s="1">
        <f>IF(E130="pipeline",F130*pipe_a+pipe_b,F130*ship_a+ship_b)</f>
        <v>28.712880000000002</v>
      </c>
    </row>
    <row r="131" spans="1:7" x14ac:dyDescent="0.25">
      <c r="A131" t="s">
        <v>254</v>
      </c>
      <c r="B131" t="s">
        <v>183</v>
      </c>
      <c r="C131" s="27" t="s">
        <v>44</v>
      </c>
      <c r="D131" s="27" t="s">
        <v>31</v>
      </c>
      <c r="E131" t="str">
        <f>IF(F131&lt;&gt;"",(IF(F131&lt;Info!$E$27,"pipeline","shipping")),"-")</f>
        <v>pipeline</v>
      </c>
      <c r="F131">
        <v>662</v>
      </c>
      <c r="G131" s="1">
        <f>IF(E131="pipeline",F131*pipe_a+pipe_b,F131*ship_a+ship_b)</f>
        <v>29.333220000000001</v>
      </c>
    </row>
    <row r="132" spans="1:7" x14ac:dyDescent="0.25">
      <c r="A132" t="s">
        <v>254</v>
      </c>
      <c r="B132" t="s">
        <v>183</v>
      </c>
      <c r="C132" s="27" t="s">
        <v>16</v>
      </c>
      <c r="D132" s="27" t="s">
        <v>13</v>
      </c>
      <c r="E132" t="str">
        <f>IF(F132&lt;&gt;"",(IF(F132&lt;Info!$E$27,"pipeline","shipping")),"-")</f>
        <v>pipeline</v>
      </c>
      <c r="F132">
        <v>766</v>
      </c>
      <c r="G132" s="1">
        <f>IF(E132="pipeline",F132*pipe_a+pipe_b,F132*ship_a+ship_b)</f>
        <v>33.941459999999999</v>
      </c>
    </row>
    <row r="133" spans="1:7" x14ac:dyDescent="0.25">
      <c r="A133" t="s">
        <v>254</v>
      </c>
      <c r="B133" t="s">
        <v>183</v>
      </c>
      <c r="C133" s="27" t="s">
        <v>40</v>
      </c>
      <c r="D133" s="27" t="s">
        <v>20</v>
      </c>
      <c r="E133" t="str">
        <f>IF(F133&lt;&gt;"",(IF(F133&lt;Info!$E$27,"pipeline","shipping")),"-")</f>
        <v>pipeline</v>
      </c>
      <c r="F133">
        <v>789</v>
      </c>
      <c r="G133" s="1">
        <f>IF(E133="pipeline",F133*pipe_a+pipe_b,F133*ship_a+ship_b)</f>
        <v>34.960590000000003</v>
      </c>
    </row>
    <row r="134" spans="1:7" x14ac:dyDescent="0.25">
      <c r="A134" t="s">
        <v>254</v>
      </c>
      <c r="B134" t="s">
        <v>183</v>
      </c>
      <c r="C134" s="27" t="s">
        <v>44</v>
      </c>
      <c r="D134" s="27" t="s">
        <v>36</v>
      </c>
      <c r="E134" t="str">
        <f>IF(F134&lt;&gt;"",(IF(F134&lt;Info!$E$27,"pipeline","shipping")),"-")</f>
        <v>pipeline</v>
      </c>
      <c r="F134">
        <v>802</v>
      </c>
      <c r="G134" s="1">
        <f>IF(E134="pipeline",F134*pipe_a+pipe_b,F134*ship_a+ship_b)</f>
        <v>35.536619999999999</v>
      </c>
    </row>
    <row r="135" spans="1:7" x14ac:dyDescent="0.25">
      <c r="A135" t="s">
        <v>254</v>
      </c>
      <c r="B135" t="s">
        <v>183</v>
      </c>
      <c r="C135" s="27" t="s">
        <v>40</v>
      </c>
      <c r="D135" s="27" t="s">
        <v>17</v>
      </c>
      <c r="E135" t="str">
        <f>IF(F135&lt;&gt;"",(IF(F135&lt;Info!$E$27,"pipeline","shipping")),"-")</f>
        <v>pipeline</v>
      </c>
      <c r="F135">
        <v>823</v>
      </c>
      <c r="G135" s="1">
        <f>IF(E135="pipeline",F135*pipe_a+pipe_b,F135*ship_a+ship_b)</f>
        <v>36.467130000000004</v>
      </c>
    </row>
    <row r="136" spans="1:7" x14ac:dyDescent="0.25">
      <c r="A136" t="s">
        <v>254</v>
      </c>
      <c r="B136" t="s">
        <v>183</v>
      </c>
      <c r="C136" s="27" t="s">
        <v>16</v>
      </c>
      <c r="D136" s="27" t="s">
        <v>15</v>
      </c>
      <c r="E136" t="str">
        <f>IF(F136&lt;&gt;"",(IF(F136&lt;Info!$E$27,"pipeline","shipping")),"-")</f>
        <v>pipeline</v>
      </c>
      <c r="F136">
        <v>842</v>
      </c>
      <c r="G136" s="1">
        <f>IF(E136="pipeline",F136*pipe_a+pipe_b,F136*ship_a+ship_b)</f>
        <v>37.309020000000004</v>
      </c>
    </row>
    <row r="137" spans="1:7" x14ac:dyDescent="0.25">
      <c r="A137" t="s">
        <v>254</v>
      </c>
      <c r="B137" t="s">
        <v>183</v>
      </c>
      <c r="C137" s="27" t="s">
        <v>44</v>
      </c>
      <c r="D137" s="27" t="s">
        <v>14</v>
      </c>
      <c r="E137" t="str">
        <f>IF(F137&lt;&gt;"",(IF(F137&lt;Info!$E$27,"pipeline","shipping")),"-")</f>
        <v>pipeline</v>
      </c>
      <c r="F137">
        <v>849</v>
      </c>
      <c r="G137" s="1">
        <f>IF(E137="pipeline",F137*pipe_a+pipe_b,F137*ship_a+ship_b)</f>
        <v>37.619190000000003</v>
      </c>
    </row>
    <row r="138" spans="1:7" x14ac:dyDescent="0.25">
      <c r="A138" t="s">
        <v>254</v>
      </c>
      <c r="B138" t="s">
        <v>183</v>
      </c>
      <c r="C138" s="27" t="s">
        <v>20</v>
      </c>
      <c r="D138" s="27" t="s">
        <v>16</v>
      </c>
      <c r="E138" t="str">
        <f>IF(F138&lt;&gt;"",(IF(F138&lt;Info!$E$27,"pipeline","shipping")),"-")</f>
        <v>pipeline</v>
      </c>
      <c r="F138">
        <v>862</v>
      </c>
      <c r="G138" s="1">
        <f>IF(E138="pipeline",F138*pipe_a+pipe_b,F138*ship_a+ship_b)</f>
        <v>38.195219999999999</v>
      </c>
    </row>
    <row r="139" spans="1:7" x14ac:dyDescent="0.25">
      <c r="A139" t="s">
        <v>254</v>
      </c>
      <c r="B139" t="s">
        <v>183</v>
      </c>
      <c r="C139" s="27" t="s">
        <v>48</v>
      </c>
      <c r="D139" s="27" t="s">
        <v>34</v>
      </c>
      <c r="E139" t="str">
        <f>IF(F139&lt;&gt;"",(IF(F139&lt;Info!$E$27,"pipeline","shipping")),"-")</f>
        <v>shipping</v>
      </c>
      <c r="F139">
        <v>869</v>
      </c>
      <c r="G139" s="1">
        <f>IF(E139="pipeline",F139*pipe_a+pipe_b,F139*ship_a+ship_b)</f>
        <v>38.327599999999997</v>
      </c>
    </row>
    <row r="140" spans="1:7" x14ac:dyDescent="0.25">
      <c r="A140" t="s">
        <v>254</v>
      </c>
      <c r="B140" t="s">
        <v>183</v>
      </c>
      <c r="C140" s="27" t="s">
        <v>48</v>
      </c>
      <c r="D140" s="27" t="s">
        <v>46</v>
      </c>
      <c r="E140" t="str">
        <f>IF(F140&lt;&gt;"",(IF(F140&lt;Info!$E$27,"pipeline","shipping")),"-")</f>
        <v>shipping</v>
      </c>
      <c r="F140">
        <v>873</v>
      </c>
      <c r="G140" s="1">
        <f>IF(E140="pipeline",F140*pipe_a+pipe_b,F140*ship_a+ship_b)</f>
        <v>38.377200000000002</v>
      </c>
    </row>
    <row r="141" spans="1:7" x14ac:dyDescent="0.25">
      <c r="A141" t="s">
        <v>254</v>
      </c>
      <c r="B141" t="s">
        <v>183</v>
      </c>
      <c r="C141" s="27" t="s">
        <v>48</v>
      </c>
      <c r="D141" s="27" t="s">
        <v>41</v>
      </c>
      <c r="E141" t="str">
        <f>IF(F141&lt;&gt;"",(IF(F141&lt;Info!$E$27,"pipeline","shipping")),"-")</f>
        <v>shipping</v>
      </c>
      <c r="F141">
        <v>916</v>
      </c>
      <c r="G141" s="1">
        <f>IF(E141="pipeline",F141*pipe_a+pipe_b,F141*ship_a+ship_b)</f>
        <v>38.910399999999996</v>
      </c>
    </row>
    <row r="142" spans="1:7" x14ac:dyDescent="0.25">
      <c r="A142" t="s">
        <v>254</v>
      </c>
      <c r="B142" t="s">
        <v>183</v>
      </c>
      <c r="C142" s="27" t="s">
        <v>47</v>
      </c>
      <c r="D142" s="27" t="s">
        <v>12</v>
      </c>
      <c r="E142" t="str">
        <f>IF(F142&lt;&gt;"",(IF(F142&lt;Info!$E$27,"pipeline","shipping")),"-")</f>
        <v>shipping</v>
      </c>
      <c r="F142">
        <v>931</v>
      </c>
      <c r="G142" s="1">
        <f>IF(E142="pipeline",F142*pipe_a+pipe_b,F142*ship_a+ship_b)</f>
        <v>39.096400000000003</v>
      </c>
    </row>
    <row r="143" spans="1:7" x14ac:dyDescent="0.25">
      <c r="A143" t="s">
        <v>254</v>
      </c>
      <c r="B143" t="s">
        <v>183</v>
      </c>
      <c r="C143" s="27" t="s">
        <v>17</v>
      </c>
      <c r="D143" s="27" t="s">
        <v>29</v>
      </c>
      <c r="E143" t="str">
        <f>IF(F143&lt;&gt;"",(IF(F143&lt;Info!$E$27,"pipeline","shipping")),"-")</f>
        <v>shipping</v>
      </c>
      <c r="F143">
        <v>1033</v>
      </c>
      <c r="G143" s="1">
        <f>IF(E143="pipeline",F143*pipe_a+pipe_b,F143*ship_a+ship_b)</f>
        <v>40.361199999999997</v>
      </c>
    </row>
    <row r="144" spans="1:7" x14ac:dyDescent="0.25">
      <c r="A144" t="s">
        <v>254</v>
      </c>
      <c r="B144" t="s">
        <v>183</v>
      </c>
      <c r="C144" s="27" t="s">
        <v>47</v>
      </c>
      <c r="D144" s="27" t="s">
        <v>17</v>
      </c>
      <c r="E144" t="str">
        <f>IF(F144&lt;&gt;"",(IF(F144&lt;Info!$E$27,"pipeline","shipping")),"-")</f>
        <v>shipping</v>
      </c>
      <c r="F144">
        <v>1070</v>
      </c>
      <c r="G144" s="1">
        <f>IF(E144="pipeline",F144*pipe_a+pipe_b,F144*ship_a+ship_b)</f>
        <v>40.82</v>
      </c>
    </row>
    <row r="145" spans="1:7" x14ac:dyDescent="0.25">
      <c r="A145" t="s">
        <v>254</v>
      </c>
      <c r="B145" t="s">
        <v>183</v>
      </c>
      <c r="C145" s="27" t="s">
        <v>48</v>
      </c>
      <c r="D145" s="27" t="s">
        <v>47</v>
      </c>
      <c r="E145" t="str">
        <f>IF(F145&lt;&gt;"",(IF(F145&lt;Info!$E$27,"pipeline","shipping")),"-")</f>
        <v>shipping</v>
      </c>
      <c r="F145">
        <v>1146</v>
      </c>
      <c r="G145" s="1">
        <f>IF(E145="pipeline",F145*pipe_a+pipe_b,F145*ship_a+ship_b)</f>
        <v>41.7624</v>
      </c>
    </row>
    <row r="146" spans="1:7" x14ac:dyDescent="0.25">
      <c r="A146" t="s">
        <v>254</v>
      </c>
      <c r="B146" t="s">
        <v>183</v>
      </c>
      <c r="C146" s="27" t="s">
        <v>40</v>
      </c>
      <c r="D146" s="27" t="s">
        <v>15</v>
      </c>
      <c r="E146" t="str">
        <f>IF(F146&lt;&gt;"",(IF(F146&lt;Info!$E$27,"pipeline","shipping")),"-")</f>
        <v>shipping</v>
      </c>
      <c r="F146">
        <v>1641</v>
      </c>
      <c r="G146" s="1">
        <f>IF(E146="pipeline",F146*pipe_a+pipe_b,F146*ship_a+ship_b)</f>
        <v>47.900399999999998</v>
      </c>
    </row>
  </sheetData>
  <autoFilter ref="A1:G146" xr:uid="{F5DE28FE-3E76-4809-9FCB-5274928AB375}">
    <sortState xmlns:xlrd2="http://schemas.microsoft.com/office/spreadsheetml/2017/richdata2" ref="A2:G146">
      <sortCondition ref="A1:A146"/>
    </sortState>
  </autoFilter>
  <phoneticPr fontId="23" type="noConversion"/>
  <conditionalFormatting sqref="H2:H146">
    <cfRule type="duplicateValues" dxfId="2" priority="22"/>
  </conditionalFormatting>
  <conditionalFormatting sqref="H2:H291">
    <cfRule type="duplicateValues" dxfId="1"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9F19D-AA1F-4116-8175-34B6CB3DCF56}">
  <sheetPr>
    <tabColor theme="6"/>
  </sheetPr>
  <dimension ref="A1:L202"/>
  <sheetViews>
    <sheetView tabSelected="1" zoomScaleNormal="100" workbookViewId="0">
      <selection activeCell="B13" sqref="B13"/>
    </sheetView>
  </sheetViews>
  <sheetFormatPr defaultRowHeight="15" x14ac:dyDescent="0.25"/>
  <cols>
    <col min="1" max="1" width="41" bestFit="1" customWidth="1"/>
    <col min="2" max="2" width="11" bestFit="1" customWidth="1"/>
    <col min="3" max="3" width="18.5703125" bestFit="1" customWidth="1"/>
    <col min="4" max="4" width="27.28515625" bestFit="1" customWidth="1"/>
    <col min="5" max="5" width="27.28515625" customWidth="1"/>
    <col min="6" max="6" width="12.140625" bestFit="1" customWidth="1"/>
    <col min="7" max="7" width="29.140625" bestFit="1" customWidth="1"/>
  </cols>
  <sheetData>
    <row r="1" spans="1:12" x14ac:dyDescent="0.25">
      <c r="A1" s="3" t="s">
        <v>186</v>
      </c>
      <c r="B1" s="3" t="s">
        <v>185</v>
      </c>
      <c r="C1" s="3" t="s">
        <v>255</v>
      </c>
      <c r="D1" s="3" t="s">
        <v>256</v>
      </c>
      <c r="E1" s="3" t="s">
        <v>217</v>
      </c>
      <c r="F1" s="3" t="s">
        <v>184</v>
      </c>
      <c r="G1" s="35" t="s">
        <v>50</v>
      </c>
    </row>
    <row r="2" spans="1:12" x14ac:dyDescent="0.25">
      <c r="A2" t="s">
        <v>251</v>
      </c>
      <c r="B2" t="s">
        <v>183</v>
      </c>
      <c r="C2" t="s">
        <v>14</v>
      </c>
      <c r="D2" t="s">
        <v>14</v>
      </c>
      <c r="E2" t="str">
        <f>IF(F2&lt;&gt;"",(IF(F2&lt;Info!$E$27,"pipeline","shipping")),"-")</f>
        <v>-</v>
      </c>
      <c r="G2" s="1">
        <f>per_ton_onshore_storage_costs</f>
        <v>7.5327000000000002</v>
      </c>
    </row>
    <row r="3" spans="1:12" x14ac:dyDescent="0.25">
      <c r="A3" t="s">
        <v>251</v>
      </c>
      <c r="B3" t="s">
        <v>183</v>
      </c>
      <c r="C3" t="s">
        <v>16</v>
      </c>
      <c r="D3" t="s">
        <v>16</v>
      </c>
      <c r="E3" t="str">
        <f>IF(F3&lt;&gt;"",(IF(F3&lt;Info!$E$27,"pipeline","shipping")),"-")</f>
        <v>-</v>
      </c>
      <c r="G3" s="1">
        <f>per_ton_onshore_storage_costs</f>
        <v>7.5327000000000002</v>
      </c>
    </row>
    <row r="4" spans="1:12" x14ac:dyDescent="0.25">
      <c r="A4" t="s">
        <v>251</v>
      </c>
      <c r="B4" t="s">
        <v>183</v>
      </c>
      <c r="C4" t="s">
        <v>23</v>
      </c>
      <c r="D4" t="s">
        <v>23</v>
      </c>
      <c r="E4" t="str">
        <f>IF(F4&lt;&gt;"",(IF(F4&lt;Info!$E$27,"pipeline","shipping")),"-")</f>
        <v>-</v>
      </c>
      <c r="G4" s="1">
        <f>per_ton_onshore_storage_costs</f>
        <v>7.5327000000000002</v>
      </c>
    </row>
    <row r="5" spans="1:12" x14ac:dyDescent="0.25">
      <c r="A5" t="s">
        <v>251</v>
      </c>
      <c r="B5" t="s">
        <v>183</v>
      </c>
      <c r="C5" t="s">
        <v>18</v>
      </c>
      <c r="D5" t="s">
        <v>18</v>
      </c>
      <c r="E5" t="str">
        <f>IF(F5&lt;&gt;"",(IF(F5&lt;Info!$E$27,"pipeline","shipping")),"-")</f>
        <v>-</v>
      </c>
      <c r="G5" s="1">
        <f>per_ton_onshore_storage_costs</f>
        <v>7.5327000000000002</v>
      </c>
    </row>
    <row r="6" spans="1:12" x14ac:dyDescent="0.25">
      <c r="A6" t="s">
        <v>251</v>
      </c>
      <c r="B6" t="s">
        <v>183</v>
      </c>
      <c r="C6" t="s">
        <v>12</v>
      </c>
      <c r="D6" t="s">
        <v>12</v>
      </c>
      <c r="E6" t="str">
        <f>IF(F6&lt;&gt;"",(IF(F6&lt;Info!$E$27,"pipeline","shipping")),"-")</f>
        <v>-</v>
      </c>
      <c r="G6" s="1">
        <f>per_ton_onshore_storage_costs</f>
        <v>7.5327000000000002</v>
      </c>
    </row>
    <row r="7" spans="1:12" x14ac:dyDescent="0.25">
      <c r="A7" t="s">
        <v>252</v>
      </c>
      <c r="B7" t="s">
        <v>183</v>
      </c>
      <c r="C7" t="s">
        <v>24</v>
      </c>
      <c r="D7" t="s">
        <v>105</v>
      </c>
      <c r="E7" t="str">
        <f>IF(F7&lt;&gt;"",(IF(F7&lt;Info!$E$27,"pipeline","shipping")),"-")</f>
        <v>pipeline</v>
      </c>
      <c r="F7" s="36">
        <v>23.06944706836989</v>
      </c>
      <c r="G7" s="1">
        <f>IF(E7="pipeline",CO2_netw_links_and_costs_IC1!F7*pipe_a+pipe_b,CO2_netw_links_and_costs_IC1!F7*ship_a+ship_b)+per_ton_offshore_storage_costs</f>
        <v>16.97380719959947</v>
      </c>
      <c r="L7" s="36"/>
    </row>
    <row r="8" spans="1:12" x14ac:dyDescent="0.25">
      <c r="A8" t="s">
        <v>252</v>
      </c>
      <c r="B8" t="s">
        <v>183</v>
      </c>
      <c r="C8" t="s">
        <v>24</v>
      </c>
      <c r="D8" t="s">
        <v>91</v>
      </c>
      <c r="E8" t="str">
        <f>IF(F8&lt;&gt;"",(IF(F8&lt;Info!$E$27,"pipeline","shipping")),"-")</f>
        <v>pipeline</v>
      </c>
      <c r="F8" s="36">
        <v>97.658920566339674</v>
      </c>
      <c r="G8" s="1">
        <f>IF(E8="pipeline",CO2_netw_links_and_costs_IC1!F8*pipe_a+pipe_b,CO2_netw_links_and_costs_IC1!F8*ship_a+ship_b)+per_ton_offshore_storage_costs</f>
        <v>20.27886677029451</v>
      </c>
      <c r="L8" s="36"/>
    </row>
    <row r="9" spans="1:12" x14ac:dyDescent="0.25">
      <c r="A9" t="s">
        <v>252</v>
      </c>
      <c r="B9" t="s">
        <v>183</v>
      </c>
      <c r="C9" t="s">
        <v>238</v>
      </c>
      <c r="D9" t="s">
        <v>97</v>
      </c>
      <c r="E9" t="str">
        <f>IF(F9&lt;&gt;"",(IF(F9&lt;Info!$E$27,"pipeline","shipping")),"-")</f>
        <v>pipeline</v>
      </c>
      <c r="F9" s="36">
        <v>179</v>
      </c>
      <c r="G9" s="1">
        <f>IF(E9="pipeline",CO2_netw_links_and_costs_IC1!F9*pipe_a+pipe_b,CO2_netw_links_and_costs_IC1!F9*ship_a+ship_b)+per_ton_offshore_storage_costs</f>
        <v>23.883089999999999</v>
      </c>
      <c r="L9" s="36"/>
    </row>
    <row r="10" spans="1:12" x14ac:dyDescent="0.25">
      <c r="A10" t="s">
        <v>252</v>
      </c>
      <c r="B10" t="s">
        <v>183</v>
      </c>
      <c r="C10" t="s">
        <v>242</v>
      </c>
      <c r="D10" t="s">
        <v>97</v>
      </c>
      <c r="E10" t="str">
        <f>IF(F10&lt;&gt;"",(IF(F10&lt;Info!$E$27,"pipeline","shipping")),"-")</f>
        <v>pipeline</v>
      </c>
      <c r="F10" s="36">
        <v>181.2262501212266</v>
      </c>
      <c r="G10" s="1">
        <f>IF(E10="pipeline",CO2_netw_links_and_costs_IC1!F10*pipe_a+pipe_b,CO2_netw_links_and_costs_IC1!F10*ship_a+ship_b)+per_ton_offshore_storage_costs</f>
        <v>23.98173514287155</v>
      </c>
      <c r="L10" s="43"/>
    </row>
    <row r="11" spans="1:12" x14ac:dyDescent="0.25">
      <c r="A11" t="s">
        <v>252</v>
      </c>
      <c r="B11" t="s">
        <v>183</v>
      </c>
      <c r="C11" t="s">
        <v>243</v>
      </c>
      <c r="D11" t="s">
        <v>97</v>
      </c>
      <c r="E11" t="str">
        <f>IF(F11&lt;&gt;"",(IF(F11&lt;Info!$E$27,"pipeline","shipping")),"-")</f>
        <v>pipeline</v>
      </c>
      <c r="F11" s="36">
        <v>215.59480510972259</v>
      </c>
      <c r="G11" s="1">
        <f>IF(E11="pipeline",CO2_netw_links_and_costs_IC1!F11*pipe_a+pipe_b,CO2_netw_links_and_costs_IC1!F11*ship_a+ship_b)+per_ton_offshore_storage_costs</f>
        <v>25.504605814411807</v>
      </c>
      <c r="L11" s="44"/>
    </row>
    <row r="12" spans="1:12" x14ac:dyDescent="0.25">
      <c r="A12" t="s">
        <v>252</v>
      </c>
      <c r="B12" t="s">
        <v>183</v>
      </c>
      <c r="C12" t="s">
        <v>19</v>
      </c>
      <c r="D12" t="s">
        <v>103</v>
      </c>
      <c r="E12" t="str">
        <f>IF(F12&lt;&gt;"",(IF(F12&lt;Info!$E$27,"pipeline","shipping")),"-")</f>
        <v>pipeline</v>
      </c>
      <c r="F12" s="36">
        <v>153.52377070751362</v>
      </c>
      <c r="G12" s="1">
        <f>IF(E12="pipeline",CO2_netw_links_and_costs_IC1!F12*pipe_a+pipe_b,CO2_netw_links_and_costs_IC1!F12*ship_a+ship_b)+per_ton_offshore_storage_costs</f>
        <v>22.754238280049929</v>
      </c>
      <c r="L12" s="36"/>
    </row>
    <row r="13" spans="1:12" x14ac:dyDescent="0.25">
      <c r="A13" t="s">
        <v>252</v>
      </c>
      <c r="B13" t="s">
        <v>183</v>
      </c>
      <c r="C13" t="s">
        <v>238</v>
      </c>
      <c r="D13" t="s">
        <v>89</v>
      </c>
      <c r="E13" t="str">
        <f>IF(F13&lt;&gt;"",(IF(F13&lt;Info!$E$27,"pipeline","shipping")),"-")</f>
        <v>pipeline</v>
      </c>
      <c r="F13" s="36">
        <v>272</v>
      </c>
      <c r="G13" s="1">
        <f>IF(E13="pipeline",CO2_netw_links_and_costs_IC1!F13*pipe_a+pipe_b,CO2_netw_links_and_costs_IC1!F13*ship_a+ship_b)+per_ton_offshore_storage_costs</f>
        <v>28.003920000000001</v>
      </c>
      <c r="L13" s="36"/>
    </row>
    <row r="14" spans="1:12" x14ac:dyDescent="0.25">
      <c r="A14" t="s">
        <v>252</v>
      </c>
      <c r="B14" t="s">
        <v>183</v>
      </c>
      <c r="C14" t="s">
        <v>242</v>
      </c>
      <c r="D14" t="s">
        <v>89</v>
      </c>
      <c r="E14" t="str">
        <f>IF(F14&lt;&gt;"",(IF(F14&lt;Info!$E$27,"pipeline","shipping")),"-")</f>
        <v>pipeline</v>
      </c>
      <c r="F14" s="36">
        <v>70.804269921631615</v>
      </c>
      <c r="G14" s="1">
        <f>IF(E14="pipeline",CO2_netw_links_and_costs_IC1!F14*pipe_a+pipe_b,CO2_netw_links_and_costs_IC1!F14*ship_a+ship_b)+per_ton_offshore_storage_costs</f>
        <v>19.088937200227495</v>
      </c>
      <c r="L14" s="41"/>
    </row>
    <row r="15" spans="1:12" x14ac:dyDescent="0.25">
      <c r="A15" t="s">
        <v>252</v>
      </c>
      <c r="B15" t="s">
        <v>183</v>
      </c>
      <c r="C15" t="s">
        <v>243</v>
      </c>
      <c r="D15" t="s">
        <v>89</v>
      </c>
      <c r="E15" t="str">
        <f>IF(F15&lt;&gt;"",(IF(F15&lt;Info!$E$27,"pipeline","shipping")),"-")</f>
        <v>pipeline</v>
      </c>
      <c r="F15" s="36">
        <v>84.548763280334924</v>
      </c>
      <c r="G15" s="1">
        <f>IF(E15="pipeline",CO2_netw_links_and_costs_IC1!F15*pipe_a+pipe_b,CO2_netw_links_and_costs_IC1!F15*ship_a+ship_b)+per_ton_offshore_storage_costs</f>
        <v>19.697955700951638</v>
      </c>
      <c r="L15" s="42"/>
    </row>
    <row r="16" spans="1:12" x14ac:dyDescent="0.25">
      <c r="A16" t="s">
        <v>252</v>
      </c>
      <c r="B16" t="s">
        <v>183</v>
      </c>
      <c r="C16" t="s">
        <v>20</v>
      </c>
      <c r="D16" t="s">
        <v>96</v>
      </c>
      <c r="E16" t="str">
        <f>IF(F16&lt;&gt;"",(IF(F16&lt;Info!$E$27,"pipeline","shipping")),"-")</f>
        <v>pipeline</v>
      </c>
      <c r="F16" s="36">
        <v>189.67913502220591</v>
      </c>
      <c r="G16" s="1">
        <f>IF(E16="pipeline",CO2_netw_links_and_costs_IC1!F16*pipe_a+pipe_b,CO2_netw_links_and_costs_IC1!F16*ship_a+ship_b)+per_ton_offshore_storage_costs</f>
        <v>24.356282472833943</v>
      </c>
      <c r="L16" s="36"/>
    </row>
    <row r="17" spans="1:12" x14ac:dyDescent="0.25">
      <c r="A17" t="s">
        <v>252</v>
      </c>
      <c r="B17" t="s">
        <v>183</v>
      </c>
      <c r="C17" t="s">
        <v>24</v>
      </c>
      <c r="D17" t="s">
        <v>102</v>
      </c>
      <c r="E17" t="str">
        <f>IF(F17&lt;&gt;"",(IF(F17&lt;Info!$E$27,"pipeline","shipping")),"-")</f>
        <v>pipeline</v>
      </c>
      <c r="F17" s="36">
        <v>217.7440948124723</v>
      </c>
      <c r="G17" s="1">
        <f>IF(E17="pipeline",CO2_netw_links_and_costs_IC1!F17*pipe_a+pipe_b,CO2_netw_links_and_costs_IC1!F17*ship_a+ship_b)+per_ton_offshore_storage_costs</f>
        <v>25.599840841140647</v>
      </c>
      <c r="L17" s="36"/>
    </row>
    <row r="18" spans="1:12" x14ac:dyDescent="0.25">
      <c r="A18" t="s">
        <v>252</v>
      </c>
      <c r="B18" t="s">
        <v>183</v>
      </c>
      <c r="C18" t="s">
        <v>17</v>
      </c>
      <c r="D18" t="s">
        <v>95</v>
      </c>
      <c r="E18" t="str">
        <f>IF(F18&lt;&gt;"",(IF(F18&lt;Info!$E$27,"pipeline","shipping")),"-")</f>
        <v>pipeline</v>
      </c>
      <c r="F18" s="36">
        <v>255.0056265304421</v>
      </c>
      <c r="G18" s="1">
        <f>IF(E18="pipeline",CO2_netw_links_and_costs_IC1!F18*pipe_a+pipe_b,CO2_netw_links_and_costs_IC1!F18*ship_a+ship_b)+per_ton_offshore_storage_costs</f>
        <v>27.250899311563892</v>
      </c>
      <c r="L18" s="36"/>
    </row>
    <row r="19" spans="1:12" x14ac:dyDescent="0.25">
      <c r="A19" t="s">
        <v>252</v>
      </c>
      <c r="B19" t="s">
        <v>183</v>
      </c>
      <c r="C19" t="s">
        <v>24</v>
      </c>
      <c r="D19" t="s">
        <v>99</v>
      </c>
      <c r="E19" t="str">
        <f>IF(F19&lt;&gt;"",(IF(F19&lt;Info!$E$27,"pipeline","shipping")),"-")</f>
        <v>pipeline</v>
      </c>
      <c r="F19" s="36">
        <v>274.1203196014589</v>
      </c>
      <c r="G19" s="1">
        <f>IF(E19="pipeline",CO2_netw_links_and_costs_IC1!F19*pipe_a+pipe_b,CO2_netw_links_and_costs_IC1!F19*ship_a+ship_b)+per_ton_offshore_storage_costs</f>
        <v>28.097871361540644</v>
      </c>
      <c r="L19" s="36"/>
    </row>
    <row r="20" spans="1:12" x14ac:dyDescent="0.25">
      <c r="A20" t="s">
        <v>252</v>
      </c>
      <c r="B20" t="s">
        <v>183</v>
      </c>
      <c r="C20" t="s">
        <v>14</v>
      </c>
      <c r="D20" t="s">
        <v>90</v>
      </c>
      <c r="E20" t="str">
        <f>IF(F20&lt;&gt;"",(IF(F20&lt;Info!$E$27,"pipeline","shipping")),"-")</f>
        <v>pipeline</v>
      </c>
      <c r="F20" s="36">
        <v>307.90075023361061</v>
      </c>
      <c r="G20" s="1">
        <f>IF(E20="pipeline",CO2_netw_links_and_costs_IC1!F20*pipe_a+pipe_b,CO2_netw_links_and_costs_IC1!F20*ship_a+ship_b)+per_ton_offshore_storage_costs</f>
        <v>29.594682242851285</v>
      </c>
      <c r="L20" s="36"/>
    </row>
    <row r="21" spans="1:12" x14ac:dyDescent="0.25">
      <c r="A21" t="s">
        <v>252</v>
      </c>
      <c r="B21" t="s">
        <v>183</v>
      </c>
      <c r="C21" t="s">
        <v>24</v>
      </c>
      <c r="D21" t="s">
        <v>100</v>
      </c>
      <c r="E21" t="str">
        <f>IF(F21&lt;&gt;"",(IF(F21&lt;Info!$E$27,"pipeline","shipping")),"-")</f>
        <v>pipeline</v>
      </c>
      <c r="F21" s="36">
        <v>324.19533737730677</v>
      </c>
      <c r="G21" s="1">
        <f>IF(E21="pipeline",CO2_netw_links_and_costs_IC1!F21*pipe_a+pipe_b,CO2_netw_links_and_costs_IC1!F21*ship_a+ship_b)+per_ton_offshore_storage_costs</f>
        <v>30.316695399188461</v>
      </c>
      <c r="L21" s="36"/>
    </row>
    <row r="22" spans="1:12" x14ac:dyDescent="0.25">
      <c r="A22" t="s">
        <v>252</v>
      </c>
      <c r="B22" t="s">
        <v>183</v>
      </c>
      <c r="C22" t="s">
        <v>24</v>
      </c>
      <c r="D22" t="s">
        <v>101</v>
      </c>
      <c r="E22" t="str">
        <f>IF(F22&lt;&gt;"",(IF(F22&lt;Info!$E$27,"pipeline","shipping")),"-")</f>
        <v>pipeline</v>
      </c>
      <c r="F22" s="36">
        <v>355.74986026058463</v>
      </c>
      <c r="G22" s="1">
        <f>IF(E22="pipeline",CO2_netw_links_and_costs_IC1!F22*pipe_a+pipe_b,CO2_netw_links_and_costs_IC1!F22*ship_a+ship_b)+per_ton_offshore_storage_costs</f>
        <v>31.714876308146504</v>
      </c>
      <c r="L22" s="36"/>
    </row>
    <row r="23" spans="1:12" x14ac:dyDescent="0.25">
      <c r="A23" t="s">
        <v>252</v>
      </c>
      <c r="B23" t="s">
        <v>183</v>
      </c>
      <c r="C23" t="s">
        <v>15</v>
      </c>
      <c r="D23" t="s">
        <v>104</v>
      </c>
      <c r="E23" t="str">
        <f>IF(F23&lt;&gt;"",(IF(F23&lt;Info!$E$27,"pipeline","shipping")),"-")</f>
        <v>pipeline</v>
      </c>
      <c r="F23" s="36">
        <v>404.2551699422479</v>
      </c>
      <c r="G23" s="1">
        <f>IF(E23="pipeline",CO2_netw_links_and_costs_IC1!F23*pipe_a+pipe_b,CO2_netw_links_and_costs_IC1!F23*ship_a+ship_b)+per_ton_offshore_storage_costs</f>
        <v>33.864146580141004</v>
      </c>
      <c r="L23" s="36"/>
    </row>
    <row r="24" spans="1:12" x14ac:dyDescent="0.25">
      <c r="A24" t="s">
        <v>252</v>
      </c>
      <c r="B24" t="s">
        <v>183</v>
      </c>
      <c r="C24" t="s">
        <v>13</v>
      </c>
      <c r="D24" t="s">
        <v>107</v>
      </c>
      <c r="E24" t="str">
        <f>IF(F24&lt;&gt;"",(IF(F24&lt;Info!$E$27,"pipeline","shipping")),"-")</f>
        <v>pipeline</v>
      </c>
      <c r="F24" s="36">
        <v>459.2017834364936</v>
      </c>
      <c r="G24" s="1">
        <f>IF(E24="pipeline",CO2_netw_links_and_costs_IC1!F24*pipe_a+pipe_b,CO2_netw_links_and_costs_IC1!F24*ship_a+ship_b)+per_ton_offshore_storage_costs</f>
        <v>36.298831024071035</v>
      </c>
      <c r="L24" s="36"/>
    </row>
    <row r="25" spans="1:12" x14ac:dyDescent="0.25">
      <c r="A25" t="s">
        <v>252</v>
      </c>
      <c r="B25" t="s">
        <v>183</v>
      </c>
      <c r="C25" t="s">
        <v>24</v>
      </c>
      <c r="D25" t="s">
        <v>98</v>
      </c>
      <c r="E25" t="str">
        <f>IF(F25&lt;&gt;"",(IF(F25&lt;Info!$E$27,"pipeline","shipping")),"-")</f>
        <v>pipeline</v>
      </c>
      <c r="F25" s="36">
        <v>492.10887085487508</v>
      </c>
      <c r="G25" s="1">
        <f>IF(E25="pipeline",CO2_netw_links_and_costs_IC1!F25*pipe_a+pipe_b,CO2_netw_links_and_costs_IC1!F25*ship_a+ship_b)+per_ton_offshore_storage_costs</f>
        <v>37.756944067579511</v>
      </c>
      <c r="L25" s="36"/>
    </row>
    <row r="26" spans="1:12" x14ac:dyDescent="0.25">
      <c r="A26" t="s">
        <v>252</v>
      </c>
      <c r="B26" t="s">
        <v>183</v>
      </c>
      <c r="C26" t="s">
        <v>22</v>
      </c>
      <c r="D26" t="s">
        <v>92</v>
      </c>
      <c r="E26" t="str">
        <f>IF(F26&lt;&gt;"",(IF(F26&lt;Info!$E$27,"pipeline","shipping")),"-")</f>
        <v>pipeline</v>
      </c>
      <c r="F26" s="36">
        <v>707.25249166769959</v>
      </c>
      <c r="G26" s="1">
        <f>IF(E26="pipeline",CO2_netw_links_and_costs_IC1!F26*pipe_a+pipe_b,CO2_netw_links_and_costs_IC1!F26*ship_a+ship_b)+per_ton_offshore_storage_costs</f>
        <v>47.289957905795774</v>
      </c>
      <c r="L26" s="36"/>
    </row>
    <row r="27" spans="1:12" x14ac:dyDescent="0.25">
      <c r="A27" t="s">
        <v>252</v>
      </c>
      <c r="B27" t="s">
        <v>183</v>
      </c>
      <c r="C27" t="s">
        <v>24</v>
      </c>
      <c r="D27" t="s">
        <v>106</v>
      </c>
      <c r="E27" t="str">
        <f>IF(F27&lt;&gt;"",(IF(F27&lt;Info!$E$27,"pipeline","shipping")),"-")</f>
        <v>pipeline</v>
      </c>
      <c r="F27" s="36">
        <v>846.67131280570436</v>
      </c>
      <c r="G27" s="1">
        <f>IF(E27="pipeline",CO2_netw_links_and_costs_IC1!F27*pipe_a+pipe_b,CO2_netw_links_and_costs_IC1!F27*ship_a+ship_b)+per_ton_offshore_storage_costs</f>
        <v>53.467605870420762</v>
      </c>
      <c r="L27" s="36"/>
    </row>
    <row r="28" spans="1:12" x14ac:dyDescent="0.25">
      <c r="A28" t="s">
        <v>252</v>
      </c>
      <c r="B28" t="s">
        <v>183</v>
      </c>
      <c r="C28" t="s">
        <v>22</v>
      </c>
      <c r="D28" t="s">
        <v>94</v>
      </c>
      <c r="E28" t="str">
        <f>IF(F28&lt;&gt;"",(IF(F28&lt;Info!$E$27,"pipeline","shipping")),"-")</f>
        <v>pipeline</v>
      </c>
      <c r="F28" s="36">
        <v>862.78662156292785</v>
      </c>
      <c r="G28" s="1">
        <f>IF(E28="pipeline",CO2_netw_links_and_costs_IC1!F28*pipe_a+pipe_b,CO2_netw_links_and_costs_IC1!F28*ship_a+ship_b)+per_ton_offshore_storage_costs</f>
        <v>54.181675201453331</v>
      </c>
      <c r="L28" s="36"/>
    </row>
    <row r="29" spans="1:12" x14ac:dyDescent="0.25">
      <c r="A29" t="s">
        <v>252</v>
      </c>
      <c r="B29" t="s">
        <v>183</v>
      </c>
      <c r="C29" t="s">
        <v>22</v>
      </c>
      <c r="D29" t="s">
        <v>93</v>
      </c>
      <c r="E29" t="str">
        <f>IF(F29&lt;&gt;"",(IF(F29&lt;Info!$E$27,"pipeline","shipping")),"-")</f>
        <v>shipping</v>
      </c>
      <c r="F29" s="36">
        <v>929.19838380068029</v>
      </c>
      <c r="G29" s="1">
        <f>IF(E29="pipeline",CO2_netw_links_and_costs_IC1!F29*pipe_a+pipe_b,CO2_netw_links_and_costs_IC1!F29*ship_a+ship_b)+per_ton_offshore_storage_costs</f>
        <v>55.025659959128433</v>
      </c>
      <c r="L29" s="36"/>
    </row>
    <row r="30" spans="1:12" x14ac:dyDescent="0.25">
      <c r="A30" t="s">
        <v>253</v>
      </c>
      <c r="B30" t="s">
        <v>183</v>
      </c>
      <c r="C30" t="s">
        <v>243</v>
      </c>
      <c r="D30" t="s">
        <v>13</v>
      </c>
      <c r="E30" t="str">
        <f>IF(F30&lt;&gt;"",(IF(F30&lt;Info!$E$27,"pipeline","shipping")),"-")</f>
        <v>pipeline</v>
      </c>
      <c r="F30" s="36">
        <v>427.0684725158726</v>
      </c>
      <c r="G30" s="1">
        <f>IF(E30="pipeline",CO2_netw_links_and_costs_IC1!F30*pipe_a+pipe_b,CO2_netw_links_and_costs_IC1!F30*ship_a+ship_b)</f>
        <v>18.923404017178317</v>
      </c>
    </row>
    <row r="31" spans="1:12" x14ac:dyDescent="0.25">
      <c r="A31" t="s">
        <v>253</v>
      </c>
      <c r="B31" t="s">
        <v>183</v>
      </c>
      <c r="C31" t="s">
        <v>14</v>
      </c>
      <c r="D31" t="s">
        <v>242</v>
      </c>
      <c r="E31" t="str">
        <f>IF(F31&lt;&gt;"",(IF(F31&lt;Info!$E$27,"pipeline","shipping")),"-")</f>
        <v>pipeline</v>
      </c>
      <c r="F31" s="36">
        <v>442.80226585200916</v>
      </c>
      <c r="G31" s="1">
        <f>IF(E31="pipeline",CO2_netw_links_and_costs_IC1!F31*pipe_a+pipe_b,CO2_netw_links_and_costs_IC1!F31*ship_a+ship_b)</f>
        <v>19.620568399902528</v>
      </c>
    </row>
    <row r="32" spans="1:12" x14ac:dyDescent="0.25">
      <c r="A32" t="s">
        <v>253</v>
      </c>
      <c r="B32" t="s">
        <v>183</v>
      </c>
      <c r="C32" t="s">
        <v>230</v>
      </c>
      <c r="D32" t="s">
        <v>13</v>
      </c>
      <c r="E32" t="str">
        <f>IF(F32&lt;&gt;"",(IF(F32&lt;Info!$E$27,"pipeline","shipping")),"-")</f>
        <v>pipeline</v>
      </c>
      <c r="F32" s="36">
        <v>457.43559934335383</v>
      </c>
      <c r="G32" s="1">
        <f>IF(E32="pipeline",CO2_netw_links_and_costs_IC1!F32*pipe_a+pipe_b,CO2_netw_links_and_costs_IC1!F32*ship_a+ship_b)</f>
        <v>20.268971406904008</v>
      </c>
    </row>
    <row r="33" spans="1:7" x14ac:dyDescent="0.25">
      <c r="A33" t="s">
        <v>253</v>
      </c>
      <c r="B33" t="s">
        <v>183</v>
      </c>
      <c r="C33" t="s">
        <v>242</v>
      </c>
      <c r="D33" t="s">
        <v>24</v>
      </c>
      <c r="E33" t="str">
        <f>IF(F33&lt;&gt;"",(IF(F33&lt;Info!$E$27,"pipeline","shipping")),"-")</f>
        <v>pipeline</v>
      </c>
      <c r="F33" s="36">
        <v>494.04472858086046</v>
      </c>
      <c r="G33" s="1">
        <f>IF(E33="pipeline",CO2_netw_links_and_costs_IC1!F33*pipe_a+pipe_b,CO2_netw_links_and_costs_IC1!F33*ship_a+ship_b)</f>
        <v>21.891121923417927</v>
      </c>
    </row>
    <row r="34" spans="1:7" x14ac:dyDescent="0.25">
      <c r="A34" t="s">
        <v>253</v>
      </c>
      <c r="B34" t="s">
        <v>183</v>
      </c>
      <c r="C34" t="s">
        <v>243</v>
      </c>
      <c r="D34" t="s">
        <v>14</v>
      </c>
      <c r="E34" t="str">
        <f>IF(F34&lt;&gt;"",(IF(F34&lt;Info!$E$27,"pipeline","shipping")),"-")</f>
        <v>pipeline</v>
      </c>
      <c r="F34" s="36">
        <v>494.31453037455816</v>
      </c>
      <c r="G34" s="1">
        <f>IF(E34="pipeline",CO2_netw_links_and_costs_IC1!F34*pipe_a+pipe_b,CO2_netw_links_and_costs_IC1!F34*ship_a+ship_b)</f>
        <v>21.903076840896674</v>
      </c>
    </row>
    <row r="35" spans="1:7" x14ac:dyDescent="0.25">
      <c r="A35" t="s">
        <v>253</v>
      </c>
      <c r="B35" t="s">
        <v>183</v>
      </c>
      <c r="C35" t="s">
        <v>243</v>
      </c>
      <c r="D35" t="s">
        <v>24</v>
      </c>
      <c r="E35" t="str">
        <f>IF(F35&lt;&gt;"",(IF(F35&lt;Info!$E$27,"pipeline","shipping")),"-")</f>
        <v>pipeline</v>
      </c>
      <c r="F35" s="36">
        <v>495.50506932431557</v>
      </c>
      <c r="G35" s="1">
        <f>IF(E35="pipeline",CO2_netw_links_and_costs_IC1!F35*pipe_a+pipe_b,CO2_netw_links_and_costs_IC1!F35*ship_a+ship_b)</f>
        <v>21.955829621760422</v>
      </c>
    </row>
    <row r="36" spans="1:7" x14ac:dyDescent="0.25">
      <c r="A36" t="s">
        <v>253</v>
      </c>
      <c r="B36" t="s">
        <v>183</v>
      </c>
      <c r="C36" t="s">
        <v>237</v>
      </c>
      <c r="D36" t="s">
        <v>24</v>
      </c>
      <c r="E36" t="str">
        <f>IF(F36&lt;&gt;"",(IF(F36&lt;Info!$E$27,"pipeline","shipping")),"-")</f>
        <v>pipeline</v>
      </c>
      <c r="F36" s="36">
        <v>496.95957219457745</v>
      </c>
      <c r="G36" s="1">
        <f>IF(E36="pipeline",CO2_netw_links_and_costs_IC1!F36*pipe_a+pipe_b,CO2_netw_links_and_costs_IC1!F36*ship_a+ship_b)</f>
        <v>22.02027864394173</v>
      </c>
    </row>
    <row r="37" spans="1:7" x14ac:dyDescent="0.25">
      <c r="A37" t="s">
        <v>253</v>
      </c>
      <c r="B37" t="s">
        <v>183</v>
      </c>
      <c r="C37" t="s">
        <v>233</v>
      </c>
      <c r="D37" t="s">
        <v>24</v>
      </c>
      <c r="E37" t="str">
        <f>IF(F37&lt;&gt;"",(IF(F37&lt;Info!$E$27,"pipeline","shipping")),"-")</f>
        <v>pipeline</v>
      </c>
      <c r="F37" s="36">
        <v>508.63524508924399</v>
      </c>
      <c r="G37" s="1">
        <f>IF(E37="pipeline",CO2_netw_links_and_costs_IC1!F37*pipe_a+pipe_b,CO2_netw_links_and_costs_IC1!F37*ship_a+ship_b)</f>
        <v>22.537627709904402</v>
      </c>
    </row>
    <row r="38" spans="1:7" x14ac:dyDescent="0.25">
      <c r="A38" t="s">
        <v>253</v>
      </c>
      <c r="B38" t="s">
        <v>183</v>
      </c>
      <c r="C38" t="s">
        <v>233</v>
      </c>
      <c r="D38" t="s">
        <v>13</v>
      </c>
      <c r="E38" t="str">
        <f>IF(F38&lt;&gt;"",(IF(F38&lt;Info!$E$27,"pipeline","shipping")),"-")</f>
        <v>pipeline</v>
      </c>
      <c r="F38" s="36">
        <v>509.52728027032168</v>
      </c>
      <c r="G38" s="1">
        <f>IF(E38="pipeline",CO2_netw_links_and_costs_IC1!F38*pipe_a+pipe_b,CO2_netw_links_and_costs_IC1!F38*ship_a+ship_b)</f>
        <v>22.577153788777956</v>
      </c>
    </row>
    <row r="39" spans="1:7" x14ac:dyDescent="0.25">
      <c r="A39" t="s">
        <v>253</v>
      </c>
      <c r="B39" t="s">
        <v>183</v>
      </c>
      <c r="C39" t="s">
        <v>230</v>
      </c>
      <c r="D39" t="s">
        <v>24</v>
      </c>
      <c r="E39" t="str">
        <f>IF(F39&lt;&gt;"",(IF(F39&lt;Info!$E$27,"pipeline","shipping")),"-")</f>
        <v>pipeline</v>
      </c>
      <c r="F39" s="36">
        <v>530.03040385054589</v>
      </c>
      <c r="G39" s="1">
        <f>IF(E39="pipeline",CO2_netw_links_and_costs_IC1!F39*pipe_a+pipe_b,CO2_netw_links_and_costs_IC1!F39*ship_a+ship_b)</f>
        <v>23.485647194617691</v>
      </c>
    </row>
    <row r="40" spans="1:7" x14ac:dyDescent="0.25">
      <c r="A40" t="s">
        <v>253</v>
      </c>
      <c r="B40" t="s">
        <v>183</v>
      </c>
      <c r="C40" t="s">
        <v>230</v>
      </c>
      <c r="D40" t="s">
        <v>14</v>
      </c>
      <c r="E40" t="str">
        <f>IF(F40&lt;&gt;"",(IF(F40&lt;Info!$E$27,"pipeline","shipping")),"-")</f>
        <v>pipeline</v>
      </c>
      <c r="F40" s="36">
        <v>540.34025387092254</v>
      </c>
      <c r="G40" s="1">
        <f>IF(E40="pipeline",CO2_netw_links_and_costs_IC1!F40*pipe_a+pipe_b,CO2_netw_links_and_costs_IC1!F40*ship_a+ship_b)</f>
        <v>23.94247664902058</v>
      </c>
    </row>
    <row r="41" spans="1:7" x14ac:dyDescent="0.25">
      <c r="A41" t="s">
        <v>253</v>
      </c>
      <c r="B41" t="s">
        <v>183</v>
      </c>
      <c r="C41" t="s">
        <v>237</v>
      </c>
      <c r="D41" t="s">
        <v>13</v>
      </c>
      <c r="E41" t="str">
        <f>IF(F41&lt;&gt;"",(IF(F41&lt;Info!$E$27,"pipeline","shipping")),"-")</f>
        <v>pipeline</v>
      </c>
      <c r="F41" s="36">
        <v>546.6171859313705</v>
      </c>
      <c r="G41" s="1">
        <f>IF(E41="pipeline",CO2_netw_links_and_costs_IC1!F41*pipe_a+pipe_b,CO2_netw_links_and_costs_IC1!F41*ship_a+ship_b)</f>
        <v>24.220607508619029</v>
      </c>
    </row>
    <row r="42" spans="1:7" x14ac:dyDescent="0.25">
      <c r="A42" t="s">
        <v>253</v>
      </c>
      <c r="B42" t="s">
        <v>183</v>
      </c>
      <c r="C42" t="s">
        <v>238</v>
      </c>
      <c r="D42" t="s">
        <v>24</v>
      </c>
      <c r="E42" t="str">
        <f>IF(F42&lt;&gt;"",(IF(F42&lt;Info!$E$27,"pipeline","shipping")),"-")</f>
        <v>pipeline</v>
      </c>
      <c r="F42" s="36">
        <v>550.84028741328427</v>
      </c>
      <c r="G42" s="1">
        <f>IF(E42="pipeline",CO2_netw_links_and_costs_IC1!F42*pipe_a+pipe_b,CO2_netw_links_and_costs_IC1!F42*ship_a+ship_b)</f>
        <v>24.407733135282626</v>
      </c>
    </row>
    <row r="43" spans="1:7" x14ac:dyDescent="0.25">
      <c r="A43" t="s">
        <v>253</v>
      </c>
      <c r="B43" t="s">
        <v>183</v>
      </c>
      <c r="C43" t="s">
        <v>233</v>
      </c>
      <c r="D43" t="s">
        <v>14</v>
      </c>
      <c r="E43" t="str">
        <f>IF(F43&lt;&gt;"",(IF(F43&lt;Info!$E$27,"pipeline","shipping")),"-")</f>
        <v>pipeline</v>
      </c>
      <c r="F43" s="36">
        <v>580.77202235828793</v>
      </c>
      <c r="G43" s="1">
        <f>IF(E43="pipeline",CO2_netw_links_and_costs_IC1!F43*pipe_a+pipe_b,CO2_netw_links_and_costs_IC1!F43*ship_a+ship_b)</f>
        <v>25.734008310695739</v>
      </c>
    </row>
    <row r="44" spans="1:7" x14ac:dyDescent="0.25">
      <c r="A44" t="s">
        <v>253</v>
      </c>
      <c r="B44" t="s">
        <v>183</v>
      </c>
      <c r="C44" t="s">
        <v>237</v>
      </c>
      <c r="D44" t="s">
        <v>14</v>
      </c>
      <c r="E44" t="str">
        <f>IF(F44&lt;&gt;"",(IF(F44&lt;Info!$E$27,"pipeline","shipping")),"-")</f>
        <v>pipeline</v>
      </c>
      <c r="F44" s="36">
        <v>610.79951705026406</v>
      </c>
      <c r="G44" s="1">
        <f>IF(E44="pipeline",CO2_netw_links_and_costs_IC1!F44*pipe_a+pipe_b,CO2_netw_links_and_costs_IC1!F44*ship_a+ship_b)</f>
        <v>27.064526600497203</v>
      </c>
    </row>
    <row r="45" spans="1:7" x14ac:dyDescent="0.25">
      <c r="A45" t="s">
        <v>253</v>
      </c>
      <c r="B45" t="s">
        <v>183</v>
      </c>
      <c r="C45" t="s">
        <v>24</v>
      </c>
      <c r="D45" t="s">
        <v>14</v>
      </c>
      <c r="E45" t="str">
        <f>IF(F45&lt;&gt;"",(IF(F45&lt;Info!$E$27,"pipeline","shipping")),"-")</f>
        <v>pipeline</v>
      </c>
      <c r="F45">
        <v>627</v>
      </c>
      <c r="G45" s="1">
        <f>IF(E45="pipeline",CO2_netw_links_and_costs_IC1!F45*pipe_a+pipe_b,CO2_netw_links_and_costs_IC1!F45*ship_a+ship_b)</f>
        <v>27.78237</v>
      </c>
    </row>
    <row r="46" spans="1:7" x14ac:dyDescent="0.25">
      <c r="A46" t="s">
        <v>253</v>
      </c>
      <c r="B46" t="s">
        <v>183</v>
      </c>
      <c r="C46" t="s">
        <v>22</v>
      </c>
      <c r="D46" t="s">
        <v>14</v>
      </c>
      <c r="E46" t="str">
        <f>IF(F46&lt;&gt;"",(IF(F46&lt;Info!$E$27,"pipeline","shipping")),"-")</f>
        <v>pipeline</v>
      </c>
      <c r="F46">
        <v>636</v>
      </c>
      <c r="G46" s="1">
        <f>IF(E46="pipeline",CO2_netw_links_and_costs_IC1!F46*pipe_a+pipe_b,CO2_netw_links_and_costs_IC1!F46*ship_a+ship_b)</f>
        <v>28.181160000000002</v>
      </c>
    </row>
    <row r="47" spans="1:7" x14ac:dyDescent="0.25">
      <c r="A47" t="s">
        <v>253</v>
      </c>
      <c r="B47" t="s">
        <v>183</v>
      </c>
      <c r="C47" t="s">
        <v>237</v>
      </c>
      <c r="D47" t="s">
        <v>19</v>
      </c>
      <c r="E47" t="str">
        <f>IF(F47&lt;&gt;"",(IF(F47&lt;Info!$E$27,"pipeline","shipping")),"-")</f>
        <v>pipeline</v>
      </c>
      <c r="F47" s="36">
        <v>688.58154866343068</v>
      </c>
      <c r="G47" s="1">
        <f>IF(E47="pipeline",CO2_netw_links_and_costs_IC1!F47*pipe_a+pipe_b,CO2_netw_links_and_costs_IC1!F47*ship_a+ship_b)</f>
        <v>30.511048421276616</v>
      </c>
    </row>
    <row r="48" spans="1:7" x14ac:dyDescent="0.25">
      <c r="A48" t="s">
        <v>253</v>
      </c>
      <c r="B48" t="s">
        <v>183</v>
      </c>
      <c r="C48" t="s">
        <v>233</v>
      </c>
      <c r="D48" t="s">
        <v>19</v>
      </c>
      <c r="E48" t="str">
        <f>IF(F48&lt;&gt;"",(IF(F48&lt;Info!$E$27,"pipeline","shipping")),"-")</f>
        <v>pipeline</v>
      </c>
      <c r="F48" s="36">
        <v>716.272257387938</v>
      </c>
      <c r="G48" s="1">
        <f>IF(E48="pipeline",CO2_netw_links_and_costs_IC1!F48*pipe_a+pipe_b,CO2_netw_links_and_costs_IC1!F48*ship_a+ship_b)</f>
        <v>31.738023724859534</v>
      </c>
    </row>
    <row r="49" spans="1:7" x14ac:dyDescent="0.25">
      <c r="A49" t="s">
        <v>253</v>
      </c>
      <c r="B49" t="s">
        <v>183</v>
      </c>
      <c r="C49" t="s">
        <v>243</v>
      </c>
      <c r="D49" t="s">
        <v>19</v>
      </c>
      <c r="E49" t="str">
        <f>IF(F49&lt;&gt;"",(IF(F49&lt;Info!$E$27,"pipeline","shipping")),"-")</f>
        <v>pipeline</v>
      </c>
      <c r="F49" s="36">
        <v>741.88691015099596</v>
      </c>
      <c r="G49" s="1">
        <f>IF(E49="pipeline",CO2_netw_links_and_costs_IC1!F49*pipe_a+pipe_b,CO2_netw_links_and_costs_IC1!F49*ship_a+ship_b)</f>
        <v>32.87300898879063</v>
      </c>
    </row>
    <row r="50" spans="1:7" x14ac:dyDescent="0.25">
      <c r="A50" t="s">
        <v>253</v>
      </c>
      <c r="B50" t="s">
        <v>183</v>
      </c>
      <c r="C50" t="s">
        <v>24</v>
      </c>
      <c r="D50" t="s">
        <v>13</v>
      </c>
      <c r="E50" t="str">
        <f>IF(F50&lt;&gt;"",(IF(F50&lt;Info!$E$27,"pipeline","shipping")),"-")</f>
        <v>pipeline</v>
      </c>
      <c r="F50">
        <v>746</v>
      </c>
      <c r="G50" s="1">
        <f>IF(E50="pipeline",CO2_netw_links_and_costs_IC1!F50*pipe_a+pipe_b,CO2_netw_links_and_costs_IC1!F50*ship_a+ship_b)</f>
        <v>33.055260000000004</v>
      </c>
    </row>
    <row r="51" spans="1:7" x14ac:dyDescent="0.25">
      <c r="A51" t="s">
        <v>253</v>
      </c>
      <c r="B51" t="s">
        <v>183</v>
      </c>
      <c r="C51" t="s">
        <v>24</v>
      </c>
      <c r="D51" t="s">
        <v>22</v>
      </c>
      <c r="E51" t="str">
        <f>IF(F51&lt;&gt;"",(IF(F51&lt;Info!$E$27,"pipeline","shipping")),"-")</f>
        <v>pipeline</v>
      </c>
      <c r="F51">
        <v>752</v>
      </c>
      <c r="G51" s="1">
        <f>IF(E51="pipeline",CO2_netw_links_and_costs_IC1!F51*pipe_a+pipe_b,CO2_netw_links_and_costs_IC1!F51*ship_a+ship_b)</f>
        <v>33.321120000000001</v>
      </c>
    </row>
    <row r="52" spans="1:7" x14ac:dyDescent="0.25">
      <c r="A52" t="s">
        <v>253</v>
      </c>
      <c r="B52" t="s">
        <v>183</v>
      </c>
      <c r="C52" t="s">
        <v>230</v>
      </c>
      <c r="D52" t="s">
        <v>19</v>
      </c>
      <c r="E52" t="str">
        <f>IF(F52&lt;&gt;"",(IF(F52&lt;Info!$E$27,"pipeline","shipping")),"-")</f>
        <v>pipeline</v>
      </c>
      <c r="F52" s="36">
        <v>757.51352508813432</v>
      </c>
      <c r="G52" s="1">
        <f>IF(E52="pipeline",CO2_netw_links_and_costs_IC1!F52*pipe_a+pipe_b,CO2_netw_links_and_costs_IC1!F52*ship_a+ship_b)</f>
        <v>33.56542429665523</v>
      </c>
    </row>
    <row r="53" spans="1:7" x14ac:dyDescent="0.25">
      <c r="A53" t="s">
        <v>253</v>
      </c>
      <c r="B53" t="s">
        <v>183</v>
      </c>
      <c r="C53" t="s">
        <v>19</v>
      </c>
      <c r="D53" t="s">
        <v>242</v>
      </c>
      <c r="E53" t="str">
        <f>IF(F53&lt;&gt;"",(IF(F53&lt;Info!$E$27,"pipeline","shipping")),"-")</f>
        <v>pipeline</v>
      </c>
      <c r="F53" s="36">
        <v>760.74018580274458</v>
      </c>
      <c r="G53" s="1">
        <f>IF(E53="pipeline",CO2_netw_links_and_costs_IC1!F53*pipe_a+pipe_b,CO2_netw_links_and_costs_IC1!F53*ship_a+ship_b)</f>
        <v>33.708397632919613</v>
      </c>
    </row>
    <row r="54" spans="1:7" x14ac:dyDescent="0.25">
      <c r="A54" t="s">
        <v>253</v>
      </c>
      <c r="B54" t="s">
        <v>183</v>
      </c>
      <c r="C54" t="s">
        <v>238</v>
      </c>
      <c r="D54" t="s">
        <v>22</v>
      </c>
      <c r="E54" t="str">
        <f>IF(F54&lt;&gt;"",(IF(F54&lt;Info!$E$27,"pipeline","shipping")),"-")</f>
        <v>pipeline</v>
      </c>
      <c r="F54" s="36">
        <v>819.53379505200542</v>
      </c>
      <c r="G54" s="1">
        <f>IF(E54="pipeline",CO2_netw_links_and_costs_IC1!F54*pipe_a+pipe_b,CO2_netw_links_and_costs_IC1!F54*ship_a+ship_b)</f>
        <v>36.313542458754362</v>
      </c>
    </row>
    <row r="55" spans="1:7" x14ac:dyDescent="0.25">
      <c r="A55" t="s">
        <v>253</v>
      </c>
      <c r="B55" t="s">
        <v>183</v>
      </c>
      <c r="C55" t="s">
        <v>238</v>
      </c>
      <c r="D55" t="s">
        <v>19</v>
      </c>
      <c r="E55" t="str">
        <f>IF(F55&lt;&gt;"",(IF(F55&lt;Info!$E$27,"pipeline","shipping")),"-")</f>
        <v>pipeline</v>
      </c>
      <c r="F55" s="36">
        <v>862.33276800539716</v>
      </c>
      <c r="G55" s="1">
        <f>IF(E55="pipeline",CO2_netw_links_and_costs_IC1!F55*pipe_a+pipe_b,CO2_netw_links_and_costs_IC1!F55*ship_a+ship_b)</f>
        <v>38.209964950319147</v>
      </c>
    </row>
    <row r="56" spans="1:7" x14ac:dyDescent="0.25">
      <c r="A56" t="s">
        <v>253</v>
      </c>
      <c r="B56" t="s">
        <v>183</v>
      </c>
      <c r="C56" t="s">
        <v>13</v>
      </c>
      <c r="D56" t="s">
        <v>22</v>
      </c>
      <c r="E56" t="str">
        <f>IF(F56&lt;&gt;"",(IF(F56&lt;Info!$E$27,"pipeline","shipping")),"-")</f>
        <v>shipping</v>
      </c>
      <c r="F56">
        <v>883</v>
      </c>
      <c r="G56" s="1">
        <f>IF(E56="pipeline",CO2_netw_links_and_costs_IC1!F56*pipe_a+pipe_b,CO2_netw_links_and_costs_IC1!F56*ship_a+ship_b)</f>
        <v>38.501199999999997</v>
      </c>
    </row>
    <row r="57" spans="1:7" x14ac:dyDescent="0.25">
      <c r="A57" t="s">
        <v>253</v>
      </c>
      <c r="B57" t="s">
        <v>183</v>
      </c>
      <c r="C57" t="s">
        <v>242</v>
      </c>
      <c r="D57" t="s">
        <v>22</v>
      </c>
      <c r="E57" t="str">
        <f>IF(F57&lt;&gt;"",(IF(F57&lt;Info!$E$27,"pipeline","shipping")),"-")</f>
        <v>shipping</v>
      </c>
      <c r="F57" s="36">
        <v>925.3724670387021</v>
      </c>
      <c r="G57" s="1">
        <f>IF(E57="pipeline",CO2_netw_links_and_costs_IC1!F57*pipe_a+pipe_b,CO2_netw_links_and_costs_IC1!F57*ship_a+ship_b)</f>
        <v>39.026618591279906</v>
      </c>
    </row>
    <row r="58" spans="1:7" x14ac:dyDescent="0.25">
      <c r="A58" t="s">
        <v>253</v>
      </c>
      <c r="B58" t="s">
        <v>183</v>
      </c>
      <c r="C58" t="s">
        <v>243</v>
      </c>
      <c r="D58" t="s">
        <v>22</v>
      </c>
      <c r="E58" t="str">
        <f>IF(F58&lt;&gt;"",(IF(F58&lt;Info!$E$27,"pipeline","shipping")),"-")</f>
        <v>shipping</v>
      </c>
      <c r="F58" s="36">
        <v>967.50368952854046</v>
      </c>
      <c r="G58" s="1">
        <f>IF(E58="pipeline",CO2_netw_links_and_costs_IC1!F58*pipe_a+pipe_b,CO2_netw_links_and_costs_IC1!F58*ship_a+ship_b)</f>
        <v>39.549045750153901</v>
      </c>
    </row>
    <row r="59" spans="1:7" x14ac:dyDescent="0.25">
      <c r="A59" t="s">
        <v>253</v>
      </c>
      <c r="B59" t="s">
        <v>183</v>
      </c>
      <c r="C59" t="s">
        <v>230</v>
      </c>
      <c r="D59" t="s">
        <v>22</v>
      </c>
      <c r="E59" t="str">
        <f>IF(F59&lt;&gt;"",(IF(F59&lt;Info!$E$27,"pipeline","shipping")),"-")</f>
        <v>shipping</v>
      </c>
      <c r="F59" s="36">
        <v>1019.1397952733549</v>
      </c>
      <c r="G59" s="1">
        <f>IF(E59="pipeline",CO2_netw_links_and_costs_IC1!F59*pipe_a+pipe_b,CO2_netw_links_and_costs_IC1!F59*ship_a+ship_b)</f>
        <v>40.189333461389602</v>
      </c>
    </row>
    <row r="60" spans="1:7" x14ac:dyDescent="0.25">
      <c r="A60" t="s">
        <v>253</v>
      </c>
      <c r="B60" t="s">
        <v>183</v>
      </c>
      <c r="C60" t="s">
        <v>233</v>
      </c>
      <c r="D60" t="s">
        <v>22</v>
      </c>
      <c r="E60" t="str">
        <f>IF(F60&lt;&gt;"",(IF(F60&lt;Info!$E$27,"pipeline","shipping")),"-")</f>
        <v>shipping</v>
      </c>
      <c r="F60" s="36">
        <v>1039.4509837397291</v>
      </c>
      <c r="G60" s="1">
        <f>IF(E60="pipeline",CO2_netw_links_and_costs_IC1!F60*pipe_a+pipe_b,CO2_netw_links_and_costs_IC1!F60*ship_a+ship_b)</f>
        <v>40.44119219837264</v>
      </c>
    </row>
    <row r="61" spans="1:7" x14ac:dyDescent="0.25">
      <c r="A61" t="s">
        <v>253</v>
      </c>
      <c r="B61" t="s">
        <v>183</v>
      </c>
      <c r="C61" t="s">
        <v>237</v>
      </c>
      <c r="D61" t="s">
        <v>22</v>
      </c>
      <c r="E61" t="str">
        <f>IF(F61&lt;&gt;"",(IF(F61&lt;Info!$E$27,"pipeline","shipping")),"-")</f>
        <v>shipping</v>
      </c>
      <c r="F61" s="36">
        <v>1055.5318851227141</v>
      </c>
      <c r="G61" s="1">
        <f>IF(E61="pipeline",CO2_netw_links_and_costs_IC1!F61*pipe_a+pipe_b,CO2_netw_links_and_costs_IC1!F61*ship_a+ship_b)</f>
        <v>40.640595375521656</v>
      </c>
    </row>
    <row r="62" spans="1:7" x14ac:dyDescent="0.25">
      <c r="A62" t="s">
        <v>253</v>
      </c>
      <c r="B62" t="s">
        <v>183</v>
      </c>
      <c r="C62" t="s">
        <v>34</v>
      </c>
      <c r="D62" t="s">
        <v>14</v>
      </c>
      <c r="E62" t="str">
        <f>IF(F62&lt;&gt;"",(IF(F62&lt;Info!$E$27,"pipeline","shipping")),"-")</f>
        <v>shipping</v>
      </c>
      <c r="F62">
        <v>1268</v>
      </c>
      <c r="G62" s="1">
        <f>IF(E62="pipeline",CO2_netw_links_and_costs_IC1!F62*pipe_a+pipe_b,CO2_netw_links_and_costs_IC1!F62*ship_a+ship_b)</f>
        <v>43.275199999999998</v>
      </c>
    </row>
    <row r="63" spans="1:7" x14ac:dyDescent="0.25">
      <c r="A63" t="s">
        <v>253</v>
      </c>
      <c r="B63" t="s">
        <v>183</v>
      </c>
      <c r="C63" t="s">
        <v>19</v>
      </c>
      <c r="D63" t="s">
        <v>22</v>
      </c>
      <c r="E63" t="str">
        <f>IF(F63&lt;&gt;"",(IF(F63&lt;Info!$E$27,"pipeline","shipping")),"-")</f>
        <v>shipping</v>
      </c>
      <c r="F63">
        <v>1492</v>
      </c>
      <c r="G63" s="1">
        <f>IF(E63="pipeline",CO2_netw_links_and_costs_IC1!F63*pipe_a+pipe_b,CO2_netw_links_and_costs_IC1!F63*ship_a+ship_b)</f>
        <v>46.052799999999998</v>
      </c>
    </row>
    <row r="64" spans="1:7" x14ac:dyDescent="0.25">
      <c r="A64" t="s">
        <v>253</v>
      </c>
      <c r="B64" t="s">
        <v>183</v>
      </c>
      <c r="C64" t="s">
        <v>34</v>
      </c>
      <c r="D64" t="s">
        <v>22</v>
      </c>
      <c r="E64" t="str">
        <f>IF(F64&lt;&gt;"",(IF(F64&lt;Info!$E$27,"pipeline","shipping")),"-")</f>
        <v>shipping</v>
      </c>
      <c r="F64">
        <v>1553</v>
      </c>
      <c r="G64" s="1">
        <f>IF(E64="pipeline",CO2_netw_links_and_costs_IC1!F64*pipe_a+pipe_b,CO2_netw_links_and_costs_IC1!F64*ship_a+ship_b)</f>
        <v>46.809200000000004</v>
      </c>
    </row>
    <row r="65" spans="1:7" x14ac:dyDescent="0.25">
      <c r="A65" t="s">
        <v>253</v>
      </c>
      <c r="B65" t="s">
        <v>183</v>
      </c>
      <c r="C65" t="s">
        <v>34</v>
      </c>
      <c r="D65" t="s">
        <v>13</v>
      </c>
      <c r="E65" t="str">
        <f>IF(F65&lt;&gt;"",(IF(F65&lt;Info!$E$27,"pipeline","shipping")),"-")</f>
        <v>shipping</v>
      </c>
      <c r="F65">
        <v>1565</v>
      </c>
      <c r="G65" s="1">
        <f>IF(E65="pipeline",CO2_netw_links_and_costs_IC1!F65*pipe_a+pipe_b,CO2_netw_links_and_costs_IC1!F65*ship_a+ship_b)</f>
        <v>46.957999999999998</v>
      </c>
    </row>
    <row r="66" spans="1:7" x14ac:dyDescent="0.25">
      <c r="A66" t="s">
        <v>253</v>
      </c>
      <c r="B66" t="s">
        <v>183</v>
      </c>
      <c r="C66" t="s">
        <v>19</v>
      </c>
      <c r="D66" t="s">
        <v>14</v>
      </c>
      <c r="E66" t="str">
        <f>IF(F66&lt;&gt;"",(IF(F66&lt;Info!$E$27,"pipeline","shipping")),"-")</f>
        <v>shipping</v>
      </c>
      <c r="F66">
        <v>1644</v>
      </c>
      <c r="G66" s="1">
        <f>IF(E66="pipeline",CO2_netw_links_and_costs_IC1!F66*pipe_a+pipe_b,CO2_netw_links_and_costs_IC1!F66*ship_a+ship_b)</f>
        <v>47.937600000000003</v>
      </c>
    </row>
    <row r="67" spans="1:7" x14ac:dyDescent="0.25">
      <c r="A67" t="s">
        <v>253</v>
      </c>
      <c r="B67" t="s">
        <v>183</v>
      </c>
      <c r="C67" t="s">
        <v>19</v>
      </c>
      <c r="D67" t="s">
        <v>13</v>
      </c>
      <c r="E67" t="str">
        <f>IF(F67&lt;&gt;"",(IF(F67&lt;Info!$E$27,"pipeline","shipping")),"-")</f>
        <v>shipping</v>
      </c>
      <c r="F67">
        <v>1694</v>
      </c>
      <c r="G67" s="1">
        <f>IF(E67="pipeline",CO2_netw_links_and_costs_IC1!F67*pipe_a+pipe_b,CO2_netw_links_and_costs_IC1!F67*ship_a+ship_b)</f>
        <v>48.557599999999994</v>
      </c>
    </row>
    <row r="68" spans="1:7" x14ac:dyDescent="0.25">
      <c r="A68" t="s">
        <v>253</v>
      </c>
      <c r="B68" t="s">
        <v>183</v>
      </c>
      <c r="C68" t="s">
        <v>20</v>
      </c>
      <c r="D68" t="s">
        <v>17</v>
      </c>
      <c r="E68" t="str">
        <f>IF(F68&lt;&gt;"",(IF(F68&lt;Info!$E$27,"pipeline","shipping")),"-")</f>
        <v>shipping</v>
      </c>
      <c r="F68">
        <v>2134</v>
      </c>
      <c r="G68" s="1">
        <f>IF(E68="pipeline",CO2_netw_links_and_costs_IC1!F68*pipe_a+pipe_b,CO2_netw_links_and_costs_IC1!F68*ship_a+ship_b)</f>
        <v>54.013599999999997</v>
      </c>
    </row>
    <row r="69" spans="1:7" x14ac:dyDescent="0.25">
      <c r="A69" t="s">
        <v>253</v>
      </c>
      <c r="B69" t="s">
        <v>183</v>
      </c>
      <c r="C69" t="s">
        <v>34</v>
      </c>
      <c r="D69" t="s">
        <v>24</v>
      </c>
      <c r="E69" t="str">
        <f>IF(F69&lt;&gt;"",(IF(F69&lt;Info!$E$27,"pipeline","shipping")),"-")</f>
        <v>shipping</v>
      </c>
      <c r="F69" s="2">
        <v>2467.5</v>
      </c>
      <c r="G69" s="1">
        <f>IF(E69="pipeline",CO2_netw_links_and_costs_IC1!F69*pipe_a+pipe_b,CO2_netw_links_and_costs_IC1!F69*ship_a+ship_b)</f>
        <v>58.149000000000001</v>
      </c>
    </row>
    <row r="70" spans="1:7" x14ac:dyDescent="0.25">
      <c r="A70" t="s">
        <v>253</v>
      </c>
      <c r="B70" t="s">
        <v>183</v>
      </c>
      <c r="C70" t="s">
        <v>15</v>
      </c>
      <c r="D70" t="s">
        <v>20</v>
      </c>
      <c r="E70" t="str">
        <f>IF(F70&lt;&gt;"",(IF(F70&lt;Info!$E$27,"pipeline","shipping")),"-")</f>
        <v>shipping</v>
      </c>
      <c r="F70">
        <v>2760</v>
      </c>
      <c r="G70" s="1">
        <f>IF(E70="pipeline",CO2_netw_links_and_costs_IC1!F70*pipe_a+pipe_b,CO2_netw_links_and_costs_IC1!F70*ship_a+ship_b)</f>
        <v>61.775999999999996</v>
      </c>
    </row>
    <row r="71" spans="1:7" x14ac:dyDescent="0.25">
      <c r="A71" t="s">
        <v>253</v>
      </c>
      <c r="B71" t="s">
        <v>183</v>
      </c>
      <c r="C71" t="s">
        <v>15</v>
      </c>
      <c r="D71" t="s">
        <v>17</v>
      </c>
      <c r="E71" t="str">
        <f>IF(F71&lt;&gt;"",(IF(F71&lt;Info!$E$27,"pipeline","shipping")),"-")</f>
        <v>shipping</v>
      </c>
      <c r="F71">
        <v>2810</v>
      </c>
      <c r="G71" s="1">
        <f>IF(E71="pipeline",CO2_netw_links_and_costs_IC1!F71*pipe_a+pipe_b,CO2_netw_links_and_costs_IC1!F71*ship_a+ship_b)</f>
        <v>62.396000000000001</v>
      </c>
    </row>
    <row r="72" spans="1:7" x14ac:dyDescent="0.25">
      <c r="A72" t="s">
        <v>253</v>
      </c>
      <c r="B72" t="s">
        <v>183</v>
      </c>
      <c r="C72" t="s">
        <v>34</v>
      </c>
      <c r="D72" t="s">
        <v>19</v>
      </c>
      <c r="E72" t="str">
        <f>IF(F72&lt;&gt;"",(IF(F72&lt;Info!$E$27,"pipeline","shipping")),"-")</f>
        <v>shipping</v>
      </c>
      <c r="F72">
        <v>2857</v>
      </c>
      <c r="G72" s="1">
        <f>IF(E72="pipeline",CO2_netw_links_and_costs_IC1!F72*pipe_a+pipe_b,CO2_netw_links_and_costs_IC1!F72*ship_a+ship_b)</f>
        <v>62.9788</v>
      </c>
    </row>
    <row r="73" spans="1:7" x14ac:dyDescent="0.25">
      <c r="A73" t="s">
        <v>253</v>
      </c>
      <c r="B73" t="s">
        <v>183</v>
      </c>
      <c r="C73" t="s">
        <v>15</v>
      </c>
      <c r="D73" t="s">
        <v>19</v>
      </c>
      <c r="E73" t="str">
        <f>IF(F73&lt;&gt;"",(IF(F73&lt;Info!$E$27,"pipeline","shipping")),"-")</f>
        <v>shipping</v>
      </c>
      <c r="F73">
        <v>3673</v>
      </c>
      <c r="G73" s="1">
        <f>IF(E73="pipeline",CO2_netw_links_and_costs_IC1!F73*pipe_a+pipe_b,CO2_netw_links_and_costs_IC1!F73*ship_a+ship_b)</f>
        <v>73.097200000000001</v>
      </c>
    </row>
    <row r="74" spans="1:7" x14ac:dyDescent="0.25">
      <c r="A74" t="s">
        <v>253</v>
      </c>
      <c r="B74" t="s">
        <v>183</v>
      </c>
      <c r="C74" t="s">
        <v>15</v>
      </c>
      <c r="D74" t="s">
        <v>24</v>
      </c>
      <c r="E74" t="str">
        <f>IF(F74&lt;&gt;"",(IF(F74&lt;Info!$E$27,"pipeline","shipping")),"-")</f>
        <v>shipping</v>
      </c>
      <c r="F74">
        <v>3875</v>
      </c>
      <c r="G74" s="1">
        <f>IF(E74="pipeline",CO2_netw_links_and_costs_IC1!F74*pipe_a+pipe_b,CO2_netw_links_and_costs_IC1!F74*ship_a+ship_b)</f>
        <v>75.602000000000004</v>
      </c>
    </row>
    <row r="75" spans="1:7" x14ac:dyDescent="0.25">
      <c r="A75" t="s">
        <v>253</v>
      </c>
      <c r="B75" t="s">
        <v>183</v>
      </c>
      <c r="C75" t="s">
        <v>15</v>
      </c>
      <c r="D75" t="s">
        <v>14</v>
      </c>
      <c r="E75" t="str">
        <f>IF(F75&lt;&gt;"",(IF(F75&lt;Info!$E$27,"pipeline","shipping")),"-")</f>
        <v>shipping</v>
      </c>
      <c r="F75">
        <v>4486</v>
      </c>
      <c r="G75" s="1">
        <f>IF(E75="pipeline",CO2_netw_links_and_costs_IC1!F75*pipe_a+pipe_b,CO2_netw_links_and_costs_IC1!F75*ship_a+ship_b)</f>
        <v>83.178399999999996</v>
      </c>
    </row>
    <row r="76" spans="1:7" x14ac:dyDescent="0.25">
      <c r="A76" t="s">
        <v>253</v>
      </c>
      <c r="B76" t="s">
        <v>183</v>
      </c>
      <c r="C76" t="s">
        <v>15</v>
      </c>
      <c r="D76" t="s">
        <v>13</v>
      </c>
      <c r="E76" t="str">
        <f>IF(F76&lt;&gt;"",(IF(F76&lt;Info!$E$27,"pipeline","shipping")),"-")</f>
        <v>shipping</v>
      </c>
      <c r="F76">
        <v>4525</v>
      </c>
      <c r="G76" s="1">
        <f>IF(E76="pipeline",CO2_netw_links_and_costs_IC1!F76*pipe_a+pipe_b,CO2_netw_links_and_costs_IC1!F76*ship_a+ship_b)</f>
        <v>83.662000000000006</v>
      </c>
    </row>
    <row r="77" spans="1:7" x14ac:dyDescent="0.25">
      <c r="A77" t="s">
        <v>253</v>
      </c>
      <c r="B77" t="s">
        <v>183</v>
      </c>
      <c r="C77" t="s">
        <v>15</v>
      </c>
      <c r="D77" t="s">
        <v>22</v>
      </c>
      <c r="E77" t="str">
        <f>IF(F77&lt;&gt;"",(IF(F77&lt;Info!$E$27,"pipeline","shipping")),"-")</f>
        <v>shipping</v>
      </c>
      <c r="F77">
        <v>4916</v>
      </c>
      <c r="G77" s="1">
        <f>IF(E77="pipeline",CO2_netw_links_and_costs_IC1!F77*pipe_a+pipe_b,CO2_netw_links_and_costs_IC1!F77*ship_a+ship_b)</f>
        <v>88.510400000000004</v>
      </c>
    </row>
    <row r="78" spans="1:7" x14ac:dyDescent="0.25">
      <c r="A78" t="s">
        <v>253</v>
      </c>
      <c r="B78" t="s">
        <v>183</v>
      </c>
      <c r="C78" t="s">
        <v>17</v>
      </c>
      <c r="D78" t="s">
        <v>19</v>
      </c>
      <c r="E78" t="str">
        <f>IF(F78&lt;&gt;"",(IF(F78&lt;Info!$E$27,"pipeline","shipping")),"-")</f>
        <v>shipping</v>
      </c>
      <c r="F78">
        <v>5600</v>
      </c>
      <c r="G78" s="1">
        <f>IF(E78="pipeline",CO2_netw_links_and_costs_IC1!F78*pipe_a+pipe_b,CO2_netw_links_and_costs_IC1!F78*ship_a+ship_b)</f>
        <v>96.99199999999999</v>
      </c>
    </row>
    <row r="79" spans="1:7" x14ac:dyDescent="0.25">
      <c r="A79" t="s">
        <v>253</v>
      </c>
      <c r="B79" t="s">
        <v>183</v>
      </c>
      <c r="C79" t="s">
        <v>20</v>
      </c>
      <c r="D79" t="s">
        <v>19</v>
      </c>
      <c r="E79" t="str">
        <f>IF(F79&lt;&gt;"",(IF(F79&lt;Info!$E$27,"pipeline","shipping")),"-")</f>
        <v>shipping</v>
      </c>
      <c r="F79">
        <v>5923</v>
      </c>
      <c r="G79" s="1">
        <f>IF(E79="pipeline",CO2_netw_links_and_costs_IC1!F79*pipe_a+pipe_b,CO2_netw_links_and_costs_IC1!F79*ship_a+ship_b)</f>
        <v>100.99719999999999</v>
      </c>
    </row>
    <row r="80" spans="1:7" x14ac:dyDescent="0.25">
      <c r="A80" t="s">
        <v>253</v>
      </c>
      <c r="B80" t="s">
        <v>183</v>
      </c>
      <c r="C80" t="s">
        <v>17</v>
      </c>
      <c r="D80" t="s">
        <v>24</v>
      </c>
      <c r="E80" t="str">
        <f>IF(F80&lt;&gt;"",(IF(F80&lt;Info!$E$27,"pipeline","shipping")),"-")</f>
        <v>shipping</v>
      </c>
      <c r="F80" s="2">
        <v>6018.5</v>
      </c>
      <c r="G80" s="1">
        <f>IF(E80="pipeline",CO2_netw_links_and_costs_IC1!F80*pipe_a+pipe_b,CO2_netw_links_and_costs_IC1!F80*ship_a+ship_b)</f>
        <v>102.1814</v>
      </c>
    </row>
    <row r="81" spans="1:7" x14ac:dyDescent="0.25">
      <c r="A81" t="s">
        <v>253</v>
      </c>
      <c r="B81" t="s">
        <v>183</v>
      </c>
      <c r="C81" t="s">
        <v>20</v>
      </c>
      <c r="D81" t="s">
        <v>24</v>
      </c>
      <c r="E81" t="str">
        <f>IF(F81&lt;&gt;"",(IF(F81&lt;Info!$E$27,"pipeline","shipping")),"-")</f>
        <v>shipping</v>
      </c>
      <c r="F81">
        <v>6353</v>
      </c>
      <c r="G81" s="1">
        <f>IF(E81="pipeline",CO2_netw_links_and_costs_IC1!F81*pipe_a+pipe_b,CO2_netw_links_and_costs_IC1!F81*ship_a+ship_b)</f>
        <v>106.32919999999999</v>
      </c>
    </row>
    <row r="82" spans="1:7" x14ac:dyDescent="0.25">
      <c r="A82" t="s">
        <v>253</v>
      </c>
      <c r="B82" t="s">
        <v>183</v>
      </c>
      <c r="C82" t="s">
        <v>17</v>
      </c>
      <c r="D82" t="s">
        <v>14</v>
      </c>
      <c r="E82" t="str">
        <f>IF(F82&lt;&gt;"",(IF(F82&lt;Info!$E$27,"pipeline","shipping")),"-")</f>
        <v>shipping</v>
      </c>
      <c r="F82">
        <v>6461</v>
      </c>
      <c r="G82" s="1">
        <f>IF(E82="pipeline",CO2_netw_links_and_costs_IC1!F82*pipe_a+pipe_b,CO2_netw_links_and_costs_IC1!F82*ship_a+ship_b)</f>
        <v>107.66839999999999</v>
      </c>
    </row>
    <row r="83" spans="1:7" x14ac:dyDescent="0.25">
      <c r="A83" t="s">
        <v>253</v>
      </c>
      <c r="B83" t="s">
        <v>183</v>
      </c>
      <c r="C83" t="s">
        <v>20</v>
      </c>
      <c r="D83" t="s">
        <v>14</v>
      </c>
      <c r="E83" t="str">
        <f>IF(F83&lt;&gt;"",(IF(F83&lt;Info!$E$27,"pipeline","shipping")),"-")</f>
        <v>shipping</v>
      </c>
      <c r="F83">
        <v>6472</v>
      </c>
      <c r="G83" s="1">
        <f>IF(E83="pipeline",CO2_netw_links_and_costs_IC1!F83*pipe_a+pipe_b,CO2_netw_links_and_costs_IC1!F83*ship_a+ship_b)</f>
        <v>107.8048</v>
      </c>
    </row>
    <row r="84" spans="1:7" x14ac:dyDescent="0.25">
      <c r="A84" t="s">
        <v>253</v>
      </c>
      <c r="B84" t="s">
        <v>183</v>
      </c>
      <c r="C84" t="s">
        <v>17</v>
      </c>
      <c r="D84" t="s">
        <v>13</v>
      </c>
      <c r="E84" t="str">
        <f>IF(F84&lt;&gt;"",(IF(F84&lt;Info!$E$27,"pipeline","shipping")),"-")</f>
        <v>shipping</v>
      </c>
      <c r="F84">
        <v>6515</v>
      </c>
      <c r="G84" s="1">
        <f>IF(E84="pipeline",CO2_netw_links_and_costs_IC1!F84*pipe_a+pipe_b,CO2_netw_links_and_costs_IC1!F84*ship_a+ship_b)</f>
        <v>108.33799999999999</v>
      </c>
    </row>
    <row r="85" spans="1:7" x14ac:dyDescent="0.25">
      <c r="A85" t="s">
        <v>253</v>
      </c>
      <c r="B85" t="s">
        <v>183</v>
      </c>
      <c r="C85" t="s">
        <v>20</v>
      </c>
      <c r="D85" t="s">
        <v>13</v>
      </c>
      <c r="E85" t="str">
        <f>IF(F85&lt;&gt;"",(IF(F85&lt;Info!$E$27,"pipeline","shipping")),"-")</f>
        <v>shipping</v>
      </c>
      <c r="F85">
        <v>6770</v>
      </c>
      <c r="G85" s="1">
        <f>IF(E85="pipeline",CO2_netw_links_and_costs_IC1!F85*pipe_a+pipe_b,CO2_netw_links_and_costs_IC1!F85*ship_a+ship_b)</f>
        <v>111.5</v>
      </c>
    </row>
    <row r="86" spans="1:7" x14ac:dyDescent="0.25">
      <c r="A86" t="s">
        <v>253</v>
      </c>
      <c r="B86" t="s">
        <v>183</v>
      </c>
      <c r="C86" t="s">
        <v>17</v>
      </c>
      <c r="D86" t="s">
        <v>22</v>
      </c>
      <c r="E86" t="str">
        <f>IF(F86&lt;&gt;"",(IF(F86&lt;Info!$E$27,"pipeline","shipping")),"-")</f>
        <v>shipping</v>
      </c>
      <c r="F86">
        <v>6899</v>
      </c>
      <c r="G86" s="1">
        <f>IF(E86="pipeline",CO2_netw_links_and_costs_IC1!F86*pipe_a+pipe_b,CO2_netw_links_and_costs_IC1!F86*ship_a+ship_b)</f>
        <v>113.09960000000001</v>
      </c>
    </row>
    <row r="87" spans="1:7" x14ac:dyDescent="0.25">
      <c r="A87" t="s">
        <v>253</v>
      </c>
      <c r="B87" t="s">
        <v>183</v>
      </c>
      <c r="C87" t="s">
        <v>20</v>
      </c>
      <c r="D87" t="s">
        <v>22</v>
      </c>
      <c r="E87" t="str">
        <f>IF(F87&lt;&gt;"",(IF(F87&lt;Info!$E$27,"pipeline","shipping")),"-")</f>
        <v>shipping</v>
      </c>
      <c r="F87">
        <v>7100</v>
      </c>
      <c r="G87" s="1">
        <f>IF(E87="pipeline",CO2_netw_links_and_costs_IC1!F87*pipe_a+pipe_b,CO2_netw_links_and_costs_IC1!F87*ship_a+ship_b)</f>
        <v>115.59199999999998</v>
      </c>
    </row>
    <row r="88" spans="1:7" x14ac:dyDescent="0.25">
      <c r="A88" t="s">
        <v>254</v>
      </c>
      <c r="B88" t="s">
        <v>183</v>
      </c>
      <c r="C88" t="s">
        <v>242</v>
      </c>
      <c r="D88" t="s">
        <v>241</v>
      </c>
      <c r="E88" t="str">
        <f>IF(F88&lt;&gt;"",(IF(F88&lt;Info!$E$27,"pipeline","shipping")),"-")</f>
        <v>pipeline</v>
      </c>
      <c r="F88" s="2">
        <v>37</v>
      </c>
      <c r="G88" s="1">
        <f>IF(E88="pipeline",CO2_netw_links_and_costs_IC1!F88*pipe_a+pipe_b,CO2_netw_links_and_costs_IC1!F88*ship_a+ship_b)</f>
        <v>1.63947</v>
      </c>
    </row>
    <row r="89" spans="1:7" x14ac:dyDescent="0.25">
      <c r="A89" t="s">
        <v>254</v>
      </c>
      <c r="B89" t="s">
        <v>183</v>
      </c>
      <c r="C89" t="s">
        <v>230</v>
      </c>
      <c r="D89" t="s">
        <v>231</v>
      </c>
      <c r="E89" t="str">
        <f>IF(F89&lt;&gt;"",(IF(F89&lt;Info!$E$27,"pipeline","shipping")),"-")</f>
        <v>pipeline</v>
      </c>
      <c r="F89" s="2">
        <v>38</v>
      </c>
      <c r="G89" s="1">
        <f>IF(E89="pipeline",CO2_netw_links_and_costs_IC1!F89*pipe_a+pipe_b,CO2_netw_links_and_costs_IC1!F89*ship_a+ship_b)</f>
        <v>1.6837800000000001</v>
      </c>
    </row>
    <row r="90" spans="1:7" x14ac:dyDescent="0.25">
      <c r="A90" t="s">
        <v>254</v>
      </c>
      <c r="B90" t="s">
        <v>183</v>
      </c>
      <c r="C90" t="s">
        <v>233</v>
      </c>
      <c r="D90" t="s">
        <v>237</v>
      </c>
      <c r="E90" t="str">
        <f>IF(F90&lt;&gt;"",(IF(F90&lt;Info!$E$27,"pipeline","shipping")),"-")</f>
        <v>pipeline</v>
      </c>
      <c r="F90" s="2">
        <v>38</v>
      </c>
      <c r="G90" s="1">
        <f>IF(E90="pipeline",CO2_netw_links_and_costs_IC1!F90*pipe_a+pipe_b,CO2_netw_links_and_costs_IC1!F90*ship_a+ship_b)</f>
        <v>1.6837800000000001</v>
      </c>
    </row>
    <row r="91" spans="1:7" x14ac:dyDescent="0.25">
      <c r="A91" t="s">
        <v>254</v>
      </c>
      <c r="B91" t="s">
        <v>183</v>
      </c>
      <c r="C91" t="s">
        <v>233</v>
      </c>
      <c r="D91" t="s">
        <v>244</v>
      </c>
      <c r="E91" t="str">
        <f>IF(F91&lt;&gt;"",(IF(F91&lt;Info!$E$27,"pipeline","shipping")),"-")</f>
        <v>pipeline</v>
      </c>
      <c r="F91" s="2">
        <v>42</v>
      </c>
      <c r="G91" s="1">
        <f>IF(E91="pipeline",CO2_netw_links_and_costs_IC1!F91*pipe_a+pipe_b,CO2_netw_links_and_costs_IC1!F91*ship_a+ship_b)</f>
        <v>1.8610200000000001</v>
      </c>
    </row>
    <row r="92" spans="1:7" x14ac:dyDescent="0.25">
      <c r="A92" t="s">
        <v>254</v>
      </c>
      <c r="B92" t="s">
        <v>183</v>
      </c>
      <c r="C92" t="s">
        <v>230</v>
      </c>
      <c r="D92" t="s">
        <v>244</v>
      </c>
      <c r="E92" t="str">
        <f>IF(F92&lt;&gt;"",(IF(F92&lt;Info!$E$27,"pipeline","shipping")),"-")</f>
        <v>pipeline</v>
      </c>
      <c r="F92" s="2">
        <v>45</v>
      </c>
      <c r="G92" s="1">
        <f>IF(E92="pipeline",CO2_netw_links_and_costs_IC1!F92*pipe_a+pipe_b,CO2_netw_links_and_costs_IC1!F92*ship_a+ship_b)</f>
        <v>1.9939500000000001</v>
      </c>
    </row>
    <row r="93" spans="1:7" x14ac:dyDescent="0.25">
      <c r="A93" t="s">
        <v>254</v>
      </c>
      <c r="B93" t="s">
        <v>183</v>
      </c>
      <c r="C93" t="s">
        <v>246</v>
      </c>
      <c r="D93" t="s">
        <v>234</v>
      </c>
      <c r="E93" t="str">
        <f>IF(F93&lt;&gt;"",(IF(F93&lt;Info!$E$27,"pipeline","shipping")),"-")</f>
        <v>pipeline</v>
      </c>
      <c r="F93" s="2">
        <v>48</v>
      </c>
      <c r="G93" s="1">
        <f>IF(E93="pipeline",CO2_netw_links_and_costs_IC1!F93*pipe_a+pipe_b,CO2_netw_links_and_costs_IC1!F93*ship_a+ship_b)</f>
        <v>2.1268799999999999</v>
      </c>
    </row>
    <row r="94" spans="1:7" x14ac:dyDescent="0.25">
      <c r="A94" t="s">
        <v>254</v>
      </c>
      <c r="B94" t="s">
        <v>183</v>
      </c>
      <c r="C94" t="s">
        <v>243</v>
      </c>
      <c r="D94" t="s">
        <v>244</v>
      </c>
      <c r="E94" t="str">
        <f>IF(F94&lt;&gt;"",(IF(F94&lt;Info!$E$27,"pipeline","shipping")),"-")</f>
        <v>pipeline</v>
      </c>
      <c r="F94" s="2">
        <v>49</v>
      </c>
      <c r="G94" s="1">
        <f>IF(E94="pipeline",CO2_netw_links_and_costs_IC1!F94*pipe_a+pipe_b,CO2_netw_links_and_costs_IC1!F94*ship_a+ship_b)</f>
        <v>2.1711900000000002</v>
      </c>
    </row>
    <row r="95" spans="1:7" x14ac:dyDescent="0.25">
      <c r="A95" t="s">
        <v>254</v>
      </c>
      <c r="B95" t="s">
        <v>183</v>
      </c>
      <c r="C95" t="s">
        <v>245</v>
      </c>
      <c r="D95" t="s">
        <v>234</v>
      </c>
      <c r="E95" t="str">
        <f>IF(F95&lt;&gt;"",(IF(F95&lt;Info!$E$27,"pipeline","shipping")),"-")</f>
        <v>pipeline</v>
      </c>
      <c r="F95" s="2">
        <v>50</v>
      </c>
      <c r="G95" s="1">
        <f>IF(E95="pipeline",CO2_netw_links_and_costs_IC1!F95*pipe_a+pipe_b,CO2_netw_links_and_costs_IC1!F95*ship_a+ship_b)</f>
        <v>2.2155</v>
      </c>
    </row>
    <row r="96" spans="1:7" x14ac:dyDescent="0.25">
      <c r="A96" t="s">
        <v>254</v>
      </c>
      <c r="B96" t="s">
        <v>183</v>
      </c>
      <c r="C96" t="s">
        <v>241</v>
      </c>
      <c r="D96" t="s">
        <v>243</v>
      </c>
      <c r="E96" t="str">
        <f>IF(F96&lt;&gt;"",(IF(F96&lt;Info!$E$27,"pipeline","shipping")),"-")</f>
        <v>pipeline</v>
      </c>
      <c r="F96" s="2">
        <v>52</v>
      </c>
      <c r="G96" s="1">
        <f>IF(E96="pipeline",CO2_netw_links_and_costs_IC1!F96*pipe_a+pipe_b,CO2_netw_links_and_costs_IC1!F96*ship_a+ship_b)</f>
        <v>2.3041200000000002</v>
      </c>
    </row>
    <row r="97" spans="1:7" x14ac:dyDescent="0.25">
      <c r="A97" t="s">
        <v>254</v>
      </c>
      <c r="B97" t="s">
        <v>183</v>
      </c>
      <c r="C97" t="s">
        <v>243</v>
      </c>
      <c r="D97" t="s">
        <v>230</v>
      </c>
      <c r="E97" t="str">
        <f>IF(F97&lt;&gt;"",(IF(F97&lt;Info!$E$27,"pipeline","shipping")),"-")</f>
        <v>pipeline</v>
      </c>
      <c r="F97" s="2">
        <v>52</v>
      </c>
      <c r="G97" s="1">
        <f>IF(E97="pipeline",CO2_netw_links_and_costs_IC1!F97*pipe_a+pipe_b,CO2_netw_links_and_costs_IC1!F97*ship_a+ship_b)</f>
        <v>2.3041200000000002</v>
      </c>
    </row>
    <row r="98" spans="1:7" x14ac:dyDescent="0.25">
      <c r="A98" t="s">
        <v>254</v>
      </c>
      <c r="B98" t="s">
        <v>183</v>
      </c>
      <c r="C98" t="s">
        <v>233</v>
      </c>
      <c r="D98" t="s">
        <v>230</v>
      </c>
      <c r="E98" t="str">
        <f>IF(F98&lt;&gt;"",(IF(F98&lt;Info!$E$27,"pipeline","shipping")),"-")</f>
        <v>pipeline</v>
      </c>
      <c r="F98" s="2">
        <v>55</v>
      </c>
      <c r="G98" s="1">
        <f>IF(E98="pipeline",CO2_netw_links_and_costs_IC1!F98*pipe_a+pipe_b,CO2_netw_links_and_costs_IC1!F98*ship_a+ship_b)</f>
        <v>2.4370500000000002</v>
      </c>
    </row>
    <row r="99" spans="1:7" x14ac:dyDescent="0.25">
      <c r="A99" t="s">
        <v>254</v>
      </c>
      <c r="B99" t="s">
        <v>183</v>
      </c>
      <c r="C99" t="s">
        <v>231</v>
      </c>
      <c r="D99" t="s">
        <v>233</v>
      </c>
      <c r="E99" t="str">
        <f>IF(F99&lt;&gt;"",(IF(F99&lt;Info!$E$27,"pipeline","shipping")),"-")</f>
        <v>pipeline</v>
      </c>
      <c r="F99" s="2">
        <v>59</v>
      </c>
      <c r="G99" s="1">
        <f>IF(E99="pipeline",CO2_netw_links_and_costs_IC1!F99*pipe_a+pipe_b,CO2_netw_links_and_costs_IC1!F99*ship_a+ship_b)</f>
        <v>2.61429</v>
      </c>
    </row>
    <row r="100" spans="1:7" x14ac:dyDescent="0.25">
      <c r="A100" t="s">
        <v>254</v>
      </c>
      <c r="B100" t="s">
        <v>183</v>
      </c>
      <c r="C100" t="s">
        <v>236</v>
      </c>
      <c r="D100" t="s">
        <v>237</v>
      </c>
      <c r="E100" t="str">
        <f>IF(F100&lt;&gt;"",(IF(F100&lt;Info!$E$27,"pipeline","shipping")),"-")</f>
        <v>pipeline</v>
      </c>
      <c r="F100" s="2">
        <v>59</v>
      </c>
      <c r="G100" s="1">
        <f>IF(E100="pipeline",CO2_netw_links_and_costs_IC1!F100*pipe_a+pipe_b,CO2_netw_links_and_costs_IC1!F100*ship_a+ship_b)</f>
        <v>2.61429</v>
      </c>
    </row>
    <row r="101" spans="1:7" x14ac:dyDescent="0.25">
      <c r="A101" t="s">
        <v>254</v>
      </c>
      <c r="B101" t="s">
        <v>183</v>
      </c>
      <c r="C101" t="s">
        <v>231</v>
      </c>
      <c r="D101" t="s">
        <v>234</v>
      </c>
      <c r="E101" t="str">
        <f>IF(F101&lt;&gt;"",(IF(F101&lt;Info!$E$27,"pipeline","shipping")),"-")</f>
        <v>pipeline</v>
      </c>
      <c r="F101" s="2">
        <v>61</v>
      </c>
      <c r="G101" s="1">
        <f>IF(E101="pipeline",CO2_netw_links_and_costs_IC1!F101*pipe_a+pipe_b,CO2_netw_links_and_costs_IC1!F101*ship_a+ship_b)</f>
        <v>2.7029100000000001</v>
      </c>
    </row>
    <row r="102" spans="1:7" x14ac:dyDescent="0.25">
      <c r="A102" t="s">
        <v>254</v>
      </c>
      <c r="B102" t="s">
        <v>183</v>
      </c>
      <c r="C102" t="s">
        <v>35</v>
      </c>
      <c r="D102" t="s">
        <v>235</v>
      </c>
      <c r="E102" t="str">
        <f>IF(F102&lt;&gt;"",(IF(F102&lt;Info!$E$27,"pipeline","shipping")),"-")</f>
        <v>pipeline</v>
      </c>
      <c r="F102" s="2">
        <v>61</v>
      </c>
      <c r="G102" s="1">
        <f>IF(E102="pipeline",CO2_netw_links_and_costs_IC1!F102*pipe_a+pipe_b,CO2_netw_links_and_costs_IC1!F102*ship_a+ship_b)</f>
        <v>2.7029100000000001</v>
      </c>
    </row>
    <row r="103" spans="1:7" x14ac:dyDescent="0.25">
      <c r="A103" t="s">
        <v>254</v>
      </c>
      <c r="B103" t="s">
        <v>183</v>
      </c>
      <c r="C103" t="s">
        <v>234</v>
      </c>
      <c r="D103" t="s">
        <v>230</v>
      </c>
      <c r="E103" t="str">
        <f>IF(F103&lt;&gt;"",(IF(F103&lt;Info!$E$27,"pipeline","shipping")),"-")</f>
        <v>pipeline</v>
      </c>
      <c r="F103" s="2">
        <v>64</v>
      </c>
      <c r="G103" s="1">
        <f>IF(E103="pipeline",CO2_netw_links_and_costs_IC1!F103*pipe_a+pipe_b,CO2_netw_links_and_costs_IC1!F103*ship_a+ship_b)</f>
        <v>2.8358400000000001</v>
      </c>
    </row>
    <row r="104" spans="1:7" x14ac:dyDescent="0.25">
      <c r="A104" t="s">
        <v>254</v>
      </c>
      <c r="B104" t="s">
        <v>183</v>
      </c>
      <c r="C104" t="s">
        <v>232</v>
      </c>
      <c r="D104" t="s">
        <v>231</v>
      </c>
      <c r="E104" t="str">
        <f>IF(F104&lt;&gt;"",(IF(F104&lt;Info!$E$27,"pipeline","shipping")),"-")</f>
        <v>pipeline</v>
      </c>
      <c r="F104" s="2">
        <v>65</v>
      </c>
      <c r="G104" s="1">
        <f>IF(E104="pipeline",CO2_netw_links_and_costs_IC1!F104*pipe_a+pipe_b,CO2_netw_links_and_costs_IC1!F104*ship_a+ship_b)</f>
        <v>2.88015</v>
      </c>
    </row>
    <row r="105" spans="1:7" x14ac:dyDescent="0.25">
      <c r="A105" t="s">
        <v>254</v>
      </c>
      <c r="B105" t="s">
        <v>183</v>
      </c>
      <c r="C105" t="s">
        <v>236</v>
      </c>
      <c r="D105" t="s">
        <v>231</v>
      </c>
      <c r="E105" t="str">
        <f>IF(F105&lt;&gt;"",(IF(F105&lt;Info!$E$27,"pipeline","shipping")),"-")</f>
        <v>pipeline</v>
      </c>
      <c r="F105" s="2">
        <v>66</v>
      </c>
      <c r="G105" s="1">
        <f>IF(E105="pipeline",CO2_netw_links_and_costs_IC1!F105*pipe_a+pipe_b,CO2_netw_links_and_costs_IC1!F105*ship_a+ship_b)</f>
        <v>2.9244600000000003</v>
      </c>
    </row>
    <row r="106" spans="1:7" x14ac:dyDescent="0.25">
      <c r="A106" t="s">
        <v>254</v>
      </c>
      <c r="B106" t="s">
        <v>183</v>
      </c>
      <c r="C106" t="s">
        <v>246</v>
      </c>
      <c r="D106" t="s">
        <v>245</v>
      </c>
      <c r="E106" t="str">
        <f>IF(F106&lt;&gt;"",(IF(F106&lt;Info!$E$27,"pipeline","shipping")),"-")</f>
        <v>pipeline</v>
      </c>
      <c r="F106" s="2">
        <v>71</v>
      </c>
      <c r="G106" s="1">
        <f>IF(E106="pipeline",CO2_netw_links_and_costs_IC1!F106*pipe_a+pipe_b,CO2_netw_links_and_costs_IC1!F106*ship_a+ship_b)</f>
        <v>3.14601</v>
      </c>
    </row>
    <row r="107" spans="1:7" x14ac:dyDescent="0.25">
      <c r="A107" t="s">
        <v>254</v>
      </c>
      <c r="B107" t="s">
        <v>183</v>
      </c>
      <c r="C107" t="s">
        <v>232</v>
      </c>
      <c r="D107" t="s">
        <v>235</v>
      </c>
      <c r="E107" t="str">
        <f>IF(F107&lt;&gt;"",(IF(F107&lt;Info!$E$27,"pipeline","shipping")),"-")</f>
        <v>pipeline</v>
      </c>
      <c r="F107" s="2">
        <v>71</v>
      </c>
      <c r="G107" s="1">
        <f>IF(E107="pipeline",CO2_netw_links_and_costs_IC1!F107*pipe_a+pipe_b,CO2_netw_links_and_costs_IC1!F107*ship_a+ship_b)</f>
        <v>3.14601</v>
      </c>
    </row>
    <row r="108" spans="1:7" x14ac:dyDescent="0.25">
      <c r="A108" t="s">
        <v>254</v>
      </c>
      <c r="B108" t="s">
        <v>183</v>
      </c>
      <c r="C108" t="s">
        <v>244</v>
      </c>
      <c r="D108" t="s">
        <v>237</v>
      </c>
      <c r="E108" t="str">
        <f>IF(F108&lt;&gt;"",(IF(F108&lt;Info!$E$27,"pipeline","shipping")),"-")</f>
        <v>pipeline</v>
      </c>
      <c r="F108" s="2">
        <v>73</v>
      </c>
      <c r="G108" s="1">
        <f>IF(E108="pipeline",CO2_netw_links_and_costs_IC1!F108*pipe_a+pipe_b,CO2_netw_links_and_costs_IC1!F108*ship_a+ship_b)</f>
        <v>3.2346300000000001</v>
      </c>
    </row>
    <row r="109" spans="1:7" x14ac:dyDescent="0.25">
      <c r="A109" t="s">
        <v>254</v>
      </c>
      <c r="B109" t="s">
        <v>183</v>
      </c>
      <c r="C109" t="s">
        <v>232</v>
      </c>
      <c r="D109" t="s">
        <v>236</v>
      </c>
      <c r="E109" t="str">
        <f>IF(F109&lt;&gt;"",(IF(F109&lt;Info!$E$27,"pipeline","shipping")),"-")</f>
        <v>pipeline</v>
      </c>
      <c r="F109" s="2">
        <v>74</v>
      </c>
      <c r="G109" s="1">
        <f>IF(E109="pipeline",CO2_netw_links_and_costs_IC1!F109*pipe_a+pipe_b,CO2_netw_links_and_costs_IC1!F109*ship_a+ship_b)</f>
        <v>3.27894</v>
      </c>
    </row>
    <row r="110" spans="1:7" x14ac:dyDescent="0.25">
      <c r="A110" t="s">
        <v>254</v>
      </c>
      <c r="B110" t="s">
        <v>183</v>
      </c>
      <c r="C110" t="s">
        <v>239</v>
      </c>
      <c r="D110" t="s">
        <v>238</v>
      </c>
      <c r="E110" t="str">
        <f>IF(F110&lt;&gt;"",(IF(F110&lt;Info!$E$27,"pipeline","shipping")),"-")</f>
        <v>pipeline</v>
      </c>
      <c r="F110" s="2">
        <v>75</v>
      </c>
      <c r="G110" s="1">
        <f>IF(E110="pipeline",CO2_netw_links_and_costs_IC1!F110*pipe_a+pipe_b,CO2_netw_links_and_costs_IC1!F110*ship_a+ship_b)</f>
        <v>3.3232500000000003</v>
      </c>
    </row>
    <row r="111" spans="1:7" x14ac:dyDescent="0.25">
      <c r="A111" t="s">
        <v>254</v>
      </c>
      <c r="B111" t="s">
        <v>183</v>
      </c>
      <c r="C111" t="s">
        <v>246</v>
      </c>
      <c r="D111" t="s">
        <v>235</v>
      </c>
      <c r="E111" t="str">
        <f>IF(F111&lt;&gt;"",(IF(F111&lt;Info!$E$27,"pipeline","shipping")),"-")</f>
        <v>pipeline</v>
      </c>
      <c r="F111" s="2">
        <v>76</v>
      </c>
      <c r="G111" s="1">
        <f>IF(E111="pipeline",CO2_netw_links_and_costs_IC1!F111*pipe_a+pipe_b,CO2_netw_links_and_costs_IC1!F111*ship_a+ship_b)</f>
        <v>3.3675600000000001</v>
      </c>
    </row>
    <row r="112" spans="1:7" x14ac:dyDescent="0.25">
      <c r="A112" t="s">
        <v>254</v>
      </c>
      <c r="B112" t="s">
        <v>183</v>
      </c>
      <c r="C112" t="s">
        <v>240</v>
      </c>
      <c r="D112" t="s">
        <v>239</v>
      </c>
      <c r="E112" t="str">
        <f>IF(F112&lt;&gt;"",(IF(F112&lt;Info!$E$27,"pipeline","shipping")),"-")</f>
        <v>pipeline</v>
      </c>
      <c r="F112" s="2">
        <v>80</v>
      </c>
      <c r="G112" s="1">
        <f>IF(E112="pipeline",CO2_netw_links_and_costs_IC1!F112*pipe_a+pipe_b,CO2_netw_links_and_costs_IC1!F112*ship_a+ship_b)</f>
        <v>3.5448000000000004</v>
      </c>
    </row>
    <row r="113" spans="1:7" x14ac:dyDescent="0.25">
      <c r="A113" t="s">
        <v>254</v>
      </c>
      <c r="B113" t="s">
        <v>183</v>
      </c>
      <c r="C113" t="s">
        <v>241</v>
      </c>
      <c r="D113" t="s">
        <v>240</v>
      </c>
      <c r="E113" t="str">
        <f>IF(F113&lt;&gt;"",(IF(F113&lt;Info!$E$27,"pipeline","shipping")),"-")</f>
        <v>pipeline</v>
      </c>
      <c r="F113" s="2">
        <v>80</v>
      </c>
      <c r="G113" s="1">
        <f>IF(E113="pipeline",CO2_netw_links_and_costs_IC1!F113*pipe_a+pipe_b,CO2_netw_links_and_costs_IC1!F113*ship_a+ship_b)</f>
        <v>3.5448000000000004</v>
      </c>
    </row>
    <row r="114" spans="1:7" x14ac:dyDescent="0.25">
      <c r="A114" t="s">
        <v>254</v>
      </c>
      <c r="B114" t="s">
        <v>183</v>
      </c>
      <c r="C114" t="s">
        <v>242</v>
      </c>
      <c r="D114" t="s">
        <v>240</v>
      </c>
      <c r="E114" t="str">
        <f>IF(F114&lt;&gt;"",(IF(F114&lt;Info!$E$27,"pipeline","shipping")),"-")</f>
        <v>pipeline</v>
      </c>
      <c r="F114" s="2">
        <v>80</v>
      </c>
      <c r="G114" s="1">
        <f>IF(E114="pipeline",CO2_netw_links_and_costs_IC1!F114*pipe_a+pipe_b,CO2_netw_links_and_costs_IC1!F114*ship_a+ship_b)</f>
        <v>3.5448000000000004</v>
      </c>
    </row>
    <row r="115" spans="1:7" x14ac:dyDescent="0.25">
      <c r="A115" t="s">
        <v>254</v>
      </c>
      <c r="B115" t="s">
        <v>183</v>
      </c>
      <c r="C115" t="s">
        <v>245</v>
      </c>
      <c r="D115" t="s">
        <v>241</v>
      </c>
      <c r="E115" t="str">
        <f>IF(F115&lt;&gt;"",(IF(F115&lt;Info!$E$27,"pipeline","shipping")),"-")</f>
        <v>pipeline</v>
      </c>
      <c r="F115" s="2">
        <v>81</v>
      </c>
      <c r="G115" s="1">
        <f>IF(E115="pipeline",CO2_netw_links_and_costs_IC1!F115*pipe_a+pipe_b,CO2_netw_links_and_costs_IC1!F115*ship_a+ship_b)</f>
        <v>3.5891100000000002</v>
      </c>
    </row>
    <row r="116" spans="1:7" x14ac:dyDescent="0.25">
      <c r="A116" t="s">
        <v>254</v>
      </c>
      <c r="B116" t="s">
        <v>183</v>
      </c>
      <c r="C116" t="s">
        <v>239</v>
      </c>
      <c r="D116" t="s">
        <v>242</v>
      </c>
      <c r="E116" t="str">
        <f>IF(F116&lt;&gt;"",(IF(F116&lt;Info!$E$27,"pipeline","shipping")),"-")</f>
        <v>pipeline</v>
      </c>
      <c r="F116" s="2">
        <v>81</v>
      </c>
      <c r="G116" s="1">
        <f>IF(E116="pipeline",CO2_netw_links_and_costs_IC1!F116*pipe_a+pipe_b,CO2_netw_links_and_costs_IC1!F116*ship_a+ship_b)</f>
        <v>3.5891100000000002</v>
      </c>
    </row>
    <row r="117" spans="1:7" x14ac:dyDescent="0.25">
      <c r="A117" t="s">
        <v>254</v>
      </c>
      <c r="B117" t="s">
        <v>183</v>
      </c>
      <c r="C117" t="s">
        <v>245</v>
      </c>
      <c r="D117" t="s">
        <v>243</v>
      </c>
      <c r="E117" t="str">
        <f>IF(F117&lt;&gt;"",(IF(F117&lt;Info!$E$27,"pipeline","shipping")),"-")</f>
        <v>pipeline</v>
      </c>
      <c r="F117" s="2">
        <v>83</v>
      </c>
      <c r="G117" s="1">
        <f>IF(E117="pipeline",CO2_netw_links_and_costs_IC1!F117*pipe_a+pipe_b,CO2_netw_links_and_costs_IC1!F117*ship_a+ship_b)</f>
        <v>3.6777300000000004</v>
      </c>
    </row>
    <row r="118" spans="1:7" x14ac:dyDescent="0.25">
      <c r="A118" t="s">
        <v>254</v>
      </c>
      <c r="B118" t="s">
        <v>183</v>
      </c>
      <c r="C118" t="s">
        <v>243</v>
      </c>
      <c r="D118" t="s">
        <v>234</v>
      </c>
      <c r="E118" t="str">
        <f>IF(F118&lt;&gt;"",(IF(F118&lt;Info!$E$27,"pipeline","shipping")),"-")</f>
        <v>pipeline</v>
      </c>
      <c r="F118" s="2">
        <v>91</v>
      </c>
      <c r="G118" s="1">
        <f>IF(E118="pipeline",CO2_netw_links_and_costs_IC1!F118*pipe_a+pipe_b,CO2_netw_links_and_costs_IC1!F118*ship_a+ship_b)</f>
        <v>4.0322100000000001</v>
      </c>
    </row>
    <row r="119" spans="1:7" x14ac:dyDescent="0.25">
      <c r="A119" t="s">
        <v>254</v>
      </c>
      <c r="B119" t="s">
        <v>183</v>
      </c>
      <c r="C119" t="s">
        <v>237</v>
      </c>
      <c r="D119" t="s">
        <v>231</v>
      </c>
      <c r="E119" t="str">
        <f>IF(F119&lt;&gt;"",(IF(F119&lt;Info!$E$27,"pipeline","shipping")),"-")</f>
        <v>pipeline</v>
      </c>
      <c r="F119" s="2">
        <v>92</v>
      </c>
      <c r="G119" s="1">
        <f>IF(E119="pipeline",CO2_netw_links_and_costs_IC1!F119*pipe_a+pipe_b,CO2_netw_links_and_costs_IC1!F119*ship_a+ship_b)</f>
        <v>4.0765200000000004</v>
      </c>
    </row>
    <row r="120" spans="1:7" x14ac:dyDescent="0.25">
      <c r="A120" t="s">
        <v>254</v>
      </c>
      <c r="B120" t="s">
        <v>183</v>
      </c>
      <c r="C120" t="s">
        <v>240</v>
      </c>
      <c r="D120" t="s">
        <v>245</v>
      </c>
      <c r="E120" t="str">
        <f>IF(F120&lt;&gt;"",(IF(F120&lt;Info!$E$27,"pipeline","shipping")),"-")</f>
        <v>pipeline</v>
      </c>
      <c r="F120" s="2">
        <v>93</v>
      </c>
      <c r="G120" s="1">
        <f>IF(E120="pipeline",CO2_netw_links_and_costs_IC1!F120*pipe_a+pipe_b,CO2_netw_links_and_costs_IC1!F120*ship_a+ship_b)</f>
        <v>4.1208299999999998</v>
      </c>
    </row>
    <row r="121" spans="1:7" x14ac:dyDescent="0.25">
      <c r="A121" t="s">
        <v>254</v>
      </c>
      <c r="B121" t="s">
        <v>183</v>
      </c>
      <c r="C121" t="s">
        <v>234</v>
      </c>
      <c r="D121" t="s">
        <v>235</v>
      </c>
      <c r="E121" t="str">
        <f>IF(F121&lt;&gt;"",(IF(F121&lt;Info!$E$27,"pipeline","shipping")),"-")</f>
        <v>pipeline</v>
      </c>
      <c r="F121" s="2">
        <v>99</v>
      </c>
      <c r="G121" s="1">
        <f>IF(E121="pipeline",CO2_netw_links_and_costs_IC1!F121*pipe_a+pipe_b,CO2_netw_links_and_costs_IC1!F121*ship_a+ship_b)</f>
        <v>4.3866900000000006</v>
      </c>
    </row>
    <row r="122" spans="1:7" x14ac:dyDescent="0.25">
      <c r="A122" t="s">
        <v>254</v>
      </c>
      <c r="B122" t="s">
        <v>183</v>
      </c>
      <c r="C122" t="s">
        <v>240</v>
      </c>
      <c r="D122" t="s">
        <v>238</v>
      </c>
      <c r="E122" t="str">
        <f>IF(F122&lt;&gt;"",(IF(F122&lt;Info!$E$27,"pipeline","shipping")),"-")</f>
        <v>pipeline</v>
      </c>
      <c r="F122" s="2">
        <v>100</v>
      </c>
      <c r="G122" s="1">
        <f>IF(E122="pipeline",CO2_netw_links_and_costs_IC1!F122*pipe_a+pipe_b,CO2_netw_links_and_costs_IC1!F122*ship_a+ship_b)</f>
        <v>4.431</v>
      </c>
    </row>
    <row r="123" spans="1:7" x14ac:dyDescent="0.25">
      <c r="A123" t="s">
        <v>254</v>
      </c>
      <c r="B123" t="s">
        <v>183</v>
      </c>
      <c r="C123" t="s">
        <v>231</v>
      </c>
      <c r="D123" t="s">
        <v>235</v>
      </c>
      <c r="E123" t="str">
        <f>IF(F123&lt;&gt;"",(IF(F123&lt;Info!$E$27,"pipeline","shipping")),"-")</f>
        <v>pipeline</v>
      </c>
      <c r="F123" s="2">
        <v>114</v>
      </c>
      <c r="G123" s="1">
        <f>IF(E123="pipeline",CO2_netw_links_and_costs_IC1!F123*pipe_a+pipe_b,CO2_netw_links_and_costs_IC1!F123*ship_a+ship_b)</f>
        <v>5.0513400000000006</v>
      </c>
    </row>
    <row r="124" spans="1:7" x14ac:dyDescent="0.25">
      <c r="A124" t="s">
        <v>254</v>
      </c>
      <c r="B124" t="s">
        <v>183</v>
      </c>
      <c r="C124" s="27" t="s">
        <v>39</v>
      </c>
      <c r="D124" s="27" t="s">
        <v>49</v>
      </c>
      <c r="E124" t="str">
        <f>IF(F124&lt;&gt;"",(IF(F124&lt;Info!$E$27,"pipeline","shipping")),"-")</f>
        <v>pipeline</v>
      </c>
      <c r="F124">
        <v>128</v>
      </c>
      <c r="G124" s="1">
        <f>IF(E124="pipeline",CO2_netw_links_and_costs_IC1!F124*pipe_a+pipe_b,CO2_netw_links_and_costs_IC1!F124*ship_a+ship_b)</f>
        <v>5.6716800000000003</v>
      </c>
    </row>
    <row r="125" spans="1:7" x14ac:dyDescent="0.25">
      <c r="A125" t="s">
        <v>254</v>
      </c>
      <c r="B125" t="s">
        <v>183</v>
      </c>
      <c r="C125" s="27" t="s">
        <v>49</v>
      </c>
      <c r="D125" s="27" t="s">
        <v>38</v>
      </c>
      <c r="E125" t="str">
        <f>IF(F125&lt;&gt;"",(IF(F125&lt;Info!$E$27,"pipeline","shipping")),"-")</f>
        <v>pipeline</v>
      </c>
      <c r="F125">
        <v>136</v>
      </c>
      <c r="G125" s="1">
        <f>IF(E125="pipeline",CO2_netw_links_and_costs_IC1!F125*pipe_a+pipe_b,CO2_netw_links_and_costs_IC1!F125*ship_a+ship_b)</f>
        <v>6.02616</v>
      </c>
    </row>
    <row r="126" spans="1:7" x14ac:dyDescent="0.25">
      <c r="A126" t="s">
        <v>254</v>
      </c>
      <c r="B126" t="s">
        <v>183</v>
      </c>
      <c r="C126" s="27" t="s">
        <v>11</v>
      </c>
      <c r="D126" s="27" t="s">
        <v>39</v>
      </c>
      <c r="E126" t="str">
        <f>IF(F126&lt;&gt;"",(IF(F126&lt;Info!$E$27,"pipeline","shipping")),"-")</f>
        <v>pipeline</v>
      </c>
      <c r="F126">
        <v>146</v>
      </c>
      <c r="G126" s="1">
        <f>IF(E126="pipeline",CO2_netw_links_and_costs_IC1!F126*pipe_a+pipe_b,CO2_netw_links_and_costs_IC1!F126*ship_a+ship_b)</f>
        <v>6.4692600000000002</v>
      </c>
    </row>
    <row r="127" spans="1:7" x14ac:dyDescent="0.25">
      <c r="A127" t="s">
        <v>254</v>
      </c>
      <c r="B127" t="s">
        <v>183</v>
      </c>
      <c r="C127" s="27" t="s">
        <v>18</v>
      </c>
      <c r="D127" s="27" t="s">
        <v>26</v>
      </c>
      <c r="E127" t="str">
        <f>IF(F127&lt;&gt;"",(IF(F127&lt;Info!$E$27,"pipeline","shipping")),"-")</f>
        <v>pipeline</v>
      </c>
      <c r="F127">
        <v>146</v>
      </c>
      <c r="G127" s="1">
        <f>IF(E127="pipeline",CO2_netw_links_and_costs_IC1!F127*pipe_a+pipe_b,CO2_netw_links_and_costs_IC1!F127*ship_a+ship_b)</f>
        <v>6.4692600000000002</v>
      </c>
    </row>
    <row r="128" spans="1:7" x14ac:dyDescent="0.25">
      <c r="A128" t="s">
        <v>254</v>
      </c>
      <c r="B128" t="s">
        <v>183</v>
      </c>
      <c r="C128" s="27" t="s">
        <v>25</v>
      </c>
      <c r="D128" s="27" t="s">
        <v>45</v>
      </c>
      <c r="E128" t="str">
        <f>IF(F128&lt;&gt;"",(IF(F128&lt;Info!$E$27,"pipeline","shipping")),"-")</f>
        <v>pipeline</v>
      </c>
      <c r="F128">
        <v>171</v>
      </c>
      <c r="G128" s="1">
        <f>IF(E128="pipeline",CO2_netw_links_and_costs_IC1!F128*pipe_a+pipe_b,CO2_netw_links_and_costs_IC1!F128*ship_a+ship_b)</f>
        <v>7.5770100000000005</v>
      </c>
    </row>
    <row r="129" spans="1:7" x14ac:dyDescent="0.25">
      <c r="A129" t="s">
        <v>254</v>
      </c>
      <c r="B129" t="s">
        <v>183</v>
      </c>
      <c r="C129" s="27" t="s">
        <v>45</v>
      </c>
      <c r="D129" s="27" t="s">
        <v>18</v>
      </c>
      <c r="E129" t="str">
        <f>IF(F129&lt;&gt;"",(IF(F129&lt;Info!$E$27,"pipeline","shipping")),"-")</f>
        <v>pipeline</v>
      </c>
      <c r="F129">
        <v>172</v>
      </c>
      <c r="G129" s="1">
        <f>IF(E129="pipeline",CO2_netw_links_and_costs_IC1!F129*pipe_a+pipe_b,CO2_netw_links_and_costs_IC1!F129*ship_a+ship_b)</f>
        <v>7.6213200000000008</v>
      </c>
    </row>
    <row r="130" spans="1:7" x14ac:dyDescent="0.25">
      <c r="A130" t="s">
        <v>254</v>
      </c>
      <c r="B130" t="s">
        <v>183</v>
      </c>
      <c r="C130" s="27" t="s">
        <v>46</v>
      </c>
      <c r="D130" s="27" t="s">
        <v>33</v>
      </c>
      <c r="E130" t="str">
        <f>IF(F130&lt;&gt;"",(IF(F130&lt;Info!$E$27,"pipeline","shipping")),"-")</f>
        <v>pipeline</v>
      </c>
      <c r="F130">
        <v>172</v>
      </c>
      <c r="G130" s="1">
        <f>IF(E130="pipeline",CO2_netw_links_and_costs_IC1!F130*pipe_a+pipe_b,CO2_netw_links_and_costs_IC1!F130*ship_a+ship_b)</f>
        <v>7.6213200000000008</v>
      </c>
    </row>
    <row r="131" spans="1:7" x14ac:dyDescent="0.25">
      <c r="A131" t="s">
        <v>254</v>
      </c>
      <c r="B131" t="s">
        <v>183</v>
      </c>
      <c r="C131" s="27" t="s">
        <v>11</v>
      </c>
      <c r="D131" s="27" t="s">
        <v>49</v>
      </c>
      <c r="E131" t="str">
        <f>IF(F131&lt;&gt;"",(IF(F131&lt;Info!$E$27,"pipeline","shipping")),"-")</f>
        <v>pipeline</v>
      </c>
      <c r="F131">
        <v>174</v>
      </c>
      <c r="G131" s="1">
        <f>IF(E131="pipeline",CO2_netw_links_and_costs_IC1!F131*pipe_a+pipe_b,CO2_netw_links_and_costs_IC1!F131*ship_a+ship_b)</f>
        <v>7.7099400000000005</v>
      </c>
    </row>
    <row r="132" spans="1:7" x14ac:dyDescent="0.25">
      <c r="A132" t="s">
        <v>254</v>
      </c>
      <c r="B132" t="s">
        <v>183</v>
      </c>
      <c r="C132" s="27" t="s">
        <v>36</v>
      </c>
      <c r="D132" s="27" t="s">
        <v>34</v>
      </c>
      <c r="E132" t="str">
        <f>IF(F132&lt;&gt;"",(IF(F132&lt;Info!$E$27,"pipeline","shipping")),"-")</f>
        <v>pipeline</v>
      </c>
      <c r="F132">
        <v>181</v>
      </c>
      <c r="G132" s="1">
        <f>IF(E132="pipeline",CO2_netw_links_and_costs_IC1!F132*pipe_a+pipe_b,CO2_netw_links_and_costs_IC1!F132*ship_a+ship_b)</f>
        <v>8.0201100000000007</v>
      </c>
    </row>
    <row r="133" spans="1:7" x14ac:dyDescent="0.25">
      <c r="A133" t="s">
        <v>254</v>
      </c>
      <c r="B133" t="s">
        <v>183</v>
      </c>
      <c r="C133" s="27" t="s">
        <v>49</v>
      </c>
      <c r="D133" s="27" t="s">
        <v>43</v>
      </c>
      <c r="E133" t="str">
        <f>IF(F133&lt;&gt;"",(IF(F133&lt;Info!$E$27,"pipeline","shipping")),"-")</f>
        <v>pipeline</v>
      </c>
      <c r="F133">
        <v>183</v>
      </c>
      <c r="G133" s="1">
        <f>IF(E133="pipeline",CO2_netw_links_and_costs_IC1!F133*pipe_a+pipe_b,CO2_netw_links_and_costs_IC1!F133*ship_a+ship_b)</f>
        <v>8.1087299999999995</v>
      </c>
    </row>
    <row r="134" spans="1:7" x14ac:dyDescent="0.25">
      <c r="A134" t="s">
        <v>254</v>
      </c>
      <c r="B134" t="s">
        <v>183</v>
      </c>
      <c r="C134" s="27" t="s">
        <v>38</v>
      </c>
      <c r="D134" s="27" t="s">
        <v>26</v>
      </c>
      <c r="E134" t="str">
        <f>IF(F134&lt;&gt;"",(IF(F134&lt;Info!$E$27,"pipeline","shipping")),"-")</f>
        <v>pipeline</v>
      </c>
      <c r="F134">
        <v>194</v>
      </c>
      <c r="G134" s="1">
        <f>IF(E134="pipeline",CO2_netw_links_and_costs_IC1!F134*pipe_a+pipe_b,CO2_netw_links_and_costs_IC1!F134*ship_a+ship_b)</f>
        <v>8.5961400000000001</v>
      </c>
    </row>
    <row r="135" spans="1:7" x14ac:dyDescent="0.25">
      <c r="A135" t="s">
        <v>254</v>
      </c>
      <c r="B135" t="s">
        <v>183</v>
      </c>
      <c r="C135" s="27" t="s">
        <v>11</v>
      </c>
      <c r="D135" s="27" t="s">
        <v>38</v>
      </c>
      <c r="E135" t="str">
        <f>IF(F135&lt;&gt;"",(IF(F135&lt;Info!$E$27,"pipeline","shipping")),"-")</f>
        <v>pipeline</v>
      </c>
      <c r="F135">
        <v>195</v>
      </c>
      <c r="G135" s="1">
        <f>IF(E135="pipeline",CO2_netw_links_and_costs_IC1!F135*pipe_a+pipe_b,CO2_netw_links_and_costs_IC1!F135*ship_a+ship_b)</f>
        <v>8.6404500000000013</v>
      </c>
    </row>
    <row r="136" spans="1:7" x14ac:dyDescent="0.25">
      <c r="A136" t="s">
        <v>254</v>
      </c>
      <c r="B136" t="s">
        <v>183</v>
      </c>
      <c r="C136" s="27" t="s">
        <v>38</v>
      </c>
      <c r="D136" s="27" t="s">
        <v>43</v>
      </c>
      <c r="E136" t="str">
        <f>IF(F136&lt;&gt;"",(IF(F136&lt;Info!$E$27,"pipeline","shipping")),"-")</f>
        <v>pipeline</v>
      </c>
      <c r="F136">
        <v>203</v>
      </c>
      <c r="G136" s="1">
        <f>IF(E136="pipeline",CO2_netw_links_and_costs_IC1!F136*pipe_a+pipe_b,CO2_netw_links_and_costs_IC1!F136*ship_a+ship_b)</f>
        <v>8.9949300000000001</v>
      </c>
    </row>
    <row r="137" spans="1:7" x14ac:dyDescent="0.25">
      <c r="A137" t="s">
        <v>254</v>
      </c>
      <c r="B137" t="s">
        <v>183</v>
      </c>
      <c r="C137" s="27" t="s">
        <v>36</v>
      </c>
      <c r="D137" s="27" t="s">
        <v>31</v>
      </c>
      <c r="E137" t="str">
        <f>IF(F137&lt;&gt;"",(IF(F137&lt;Info!$E$27,"pipeline","shipping")),"-")</f>
        <v>pipeline</v>
      </c>
      <c r="F137">
        <v>206</v>
      </c>
      <c r="G137" s="1">
        <f>IF(E137="pipeline",CO2_netw_links_and_costs_IC1!F137*pipe_a+pipe_b,CO2_netw_links_and_costs_IC1!F137*ship_a+ship_b)</f>
        <v>9.1278600000000001</v>
      </c>
    </row>
    <row r="138" spans="1:7" x14ac:dyDescent="0.25">
      <c r="A138" t="s">
        <v>254</v>
      </c>
      <c r="B138" t="s">
        <v>183</v>
      </c>
      <c r="C138" s="27" t="s">
        <v>22</v>
      </c>
      <c r="D138" s="27" t="s">
        <v>44</v>
      </c>
      <c r="E138" t="str">
        <f>IF(F138&lt;&gt;"",(IF(F138&lt;Info!$E$27,"pipeline","shipping")),"-")</f>
        <v>pipeline</v>
      </c>
      <c r="F138">
        <v>230</v>
      </c>
      <c r="G138" s="1">
        <f>IF(E138="pipeline",CO2_netw_links_and_costs_IC1!F138*pipe_a+pipe_b,CO2_netw_links_and_costs_IC1!F138*ship_a+ship_b)</f>
        <v>10.1913</v>
      </c>
    </row>
    <row r="139" spans="1:7" x14ac:dyDescent="0.25">
      <c r="A139" t="s">
        <v>254</v>
      </c>
      <c r="B139" t="s">
        <v>183</v>
      </c>
      <c r="C139" s="27" t="s">
        <v>43</v>
      </c>
      <c r="D139" s="27" t="s">
        <v>26</v>
      </c>
      <c r="E139" t="str">
        <f>IF(F139&lt;&gt;"",(IF(F139&lt;Info!$E$27,"pipeline","shipping")),"-")</f>
        <v>pipeline</v>
      </c>
      <c r="F139">
        <v>240</v>
      </c>
      <c r="G139" s="1">
        <f>IF(E139="pipeline",CO2_netw_links_and_costs_IC1!F139*pipe_a+pipe_b,CO2_netw_links_and_costs_IC1!F139*ship_a+ship_b)</f>
        <v>10.634400000000001</v>
      </c>
    </row>
    <row r="140" spans="1:7" x14ac:dyDescent="0.25">
      <c r="A140" t="s">
        <v>254</v>
      </c>
      <c r="B140" t="s">
        <v>183</v>
      </c>
      <c r="C140" s="27" t="s">
        <v>30</v>
      </c>
      <c r="D140" s="27" t="s">
        <v>25</v>
      </c>
      <c r="E140" t="str">
        <f>IF(F140&lt;&gt;"",(IF(F140&lt;Info!$E$27,"pipeline","shipping")),"-")</f>
        <v>pipeline</v>
      </c>
      <c r="F140">
        <v>255</v>
      </c>
      <c r="G140" s="1">
        <f>IF(E140="pipeline",CO2_netw_links_and_costs_IC1!F140*pipe_a+pipe_b,CO2_netw_links_and_costs_IC1!F140*ship_a+ship_b)</f>
        <v>11.299050000000001</v>
      </c>
    </row>
    <row r="141" spans="1:7" x14ac:dyDescent="0.25">
      <c r="A141" t="s">
        <v>254</v>
      </c>
      <c r="B141" t="s">
        <v>183</v>
      </c>
      <c r="C141" s="27" t="s">
        <v>39</v>
      </c>
      <c r="D141" s="27" t="s">
        <v>17</v>
      </c>
      <c r="E141" t="str">
        <f>IF(F141&lt;&gt;"",(IF(F141&lt;Info!$E$27,"pipeline","shipping")),"-")</f>
        <v>pipeline</v>
      </c>
      <c r="F141">
        <v>287</v>
      </c>
      <c r="G141" s="1">
        <f>IF(E141="pipeline",CO2_netw_links_and_costs_IC1!F141*pipe_a+pipe_b,CO2_netw_links_and_costs_IC1!F141*ship_a+ship_b)</f>
        <v>12.71697</v>
      </c>
    </row>
    <row r="142" spans="1:7" x14ac:dyDescent="0.25">
      <c r="A142" t="s">
        <v>254</v>
      </c>
      <c r="B142" t="s">
        <v>183</v>
      </c>
      <c r="C142" s="27" t="s">
        <v>48</v>
      </c>
      <c r="D142" s="27" t="s">
        <v>37</v>
      </c>
      <c r="E142" t="str">
        <f>IF(F142&lt;&gt;"",(IF(F142&lt;Info!$E$27,"pipeline","shipping")),"-")</f>
        <v>pipeline</v>
      </c>
      <c r="F142">
        <v>297</v>
      </c>
      <c r="G142" s="1">
        <f>IF(E142="pipeline",CO2_netw_links_and_costs_IC1!F142*pipe_a+pipe_b,CO2_netw_links_and_costs_IC1!F142*ship_a+ship_b)</f>
        <v>13.160070000000001</v>
      </c>
    </row>
    <row r="143" spans="1:7" x14ac:dyDescent="0.25">
      <c r="A143" t="s">
        <v>254</v>
      </c>
      <c r="B143" t="s">
        <v>183</v>
      </c>
      <c r="C143" s="27" t="s">
        <v>43</v>
      </c>
      <c r="D143" s="27" t="s">
        <v>39</v>
      </c>
      <c r="E143" t="str">
        <f>IF(F143&lt;&gt;"",(IF(F143&lt;Info!$E$27,"pipeline","shipping")),"-")</f>
        <v>pipeline</v>
      </c>
      <c r="F143">
        <v>301</v>
      </c>
      <c r="G143" s="1">
        <f>IF(E143="pipeline",CO2_netw_links_and_costs_IC1!F143*pipe_a+pipe_b,CO2_netw_links_and_costs_IC1!F143*ship_a+ship_b)</f>
        <v>13.33731</v>
      </c>
    </row>
    <row r="144" spans="1:7" x14ac:dyDescent="0.25">
      <c r="A144" t="s">
        <v>254</v>
      </c>
      <c r="B144" t="s">
        <v>183</v>
      </c>
      <c r="C144" s="27" t="s">
        <v>23</v>
      </c>
      <c r="D144" s="27" t="s">
        <v>37</v>
      </c>
      <c r="E144" t="str">
        <f>IF(F144&lt;&gt;"",(IF(F144&lt;Info!$E$27,"pipeline","shipping")),"-")</f>
        <v>pipeline</v>
      </c>
      <c r="F144">
        <v>307</v>
      </c>
      <c r="G144" s="1">
        <f>IF(E144="pipeline",CO2_netw_links_and_costs_IC1!F144*pipe_a+pipe_b,CO2_netw_links_and_costs_IC1!F144*ship_a+ship_b)</f>
        <v>13.60317</v>
      </c>
    </row>
    <row r="145" spans="1:7" x14ac:dyDescent="0.25">
      <c r="A145" t="s">
        <v>254</v>
      </c>
      <c r="B145" t="s">
        <v>183</v>
      </c>
      <c r="C145" s="27" t="s">
        <v>39</v>
      </c>
      <c r="D145" s="27" t="s">
        <v>12</v>
      </c>
      <c r="E145" t="str">
        <f>IF(F145&lt;&gt;"",(IF(F145&lt;Info!$E$27,"pipeline","shipping")),"-")</f>
        <v>pipeline</v>
      </c>
      <c r="F145">
        <v>319</v>
      </c>
      <c r="G145" s="1">
        <f>IF(E145="pipeline",CO2_netw_links_and_costs_IC1!F145*pipe_a+pipe_b,CO2_netw_links_and_costs_IC1!F145*ship_a+ship_b)</f>
        <v>14.13489</v>
      </c>
    </row>
    <row r="146" spans="1:7" x14ac:dyDescent="0.25">
      <c r="A146" t="s">
        <v>254</v>
      </c>
      <c r="B146" t="s">
        <v>183</v>
      </c>
      <c r="C146" s="27" t="s">
        <v>11</v>
      </c>
      <c r="D146" s="27" t="s">
        <v>17</v>
      </c>
      <c r="E146" t="str">
        <f>IF(F146&lt;&gt;"",(IF(F146&lt;Info!$E$27,"pipeline","shipping")),"-")</f>
        <v>pipeline</v>
      </c>
      <c r="F146">
        <v>320</v>
      </c>
      <c r="G146" s="1">
        <f>IF(E146="pipeline",CO2_netw_links_and_costs_IC1!F146*pipe_a+pipe_b,CO2_netw_links_and_costs_IC1!F146*ship_a+ship_b)</f>
        <v>14.179200000000002</v>
      </c>
    </row>
    <row r="147" spans="1:7" x14ac:dyDescent="0.25">
      <c r="A147" t="s">
        <v>254</v>
      </c>
      <c r="B147" t="s">
        <v>183</v>
      </c>
      <c r="C147" s="27" t="s">
        <v>46</v>
      </c>
      <c r="D147" s="27" t="s">
        <v>30</v>
      </c>
      <c r="E147" t="str">
        <f>IF(F147&lt;&gt;"",(IF(F147&lt;Info!$E$27,"pipeline","shipping")),"-")</f>
        <v>pipeline</v>
      </c>
      <c r="F147">
        <v>324</v>
      </c>
      <c r="G147" s="1">
        <f>IF(E147="pipeline",CO2_netw_links_and_costs_IC1!F147*pipe_a+pipe_b,CO2_netw_links_and_costs_IC1!F147*ship_a+ship_b)</f>
        <v>14.356440000000001</v>
      </c>
    </row>
    <row r="148" spans="1:7" x14ac:dyDescent="0.25">
      <c r="A148" t="s">
        <v>254</v>
      </c>
      <c r="B148" t="s">
        <v>183</v>
      </c>
      <c r="C148" s="27" t="s">
        <v>13</v>
      </c>
      <c r="D148" s="27" t="s">
        <v>35</v>
      </c>
      <c r="E148" t="str">
        <f>IF(F148&lt;&gt;"",(IF(F148&lt;Info!$E$27,"pipeline","shipping")),"-")</f>
        <v>pipeline</v>
      </c>
      <c r="F148">
        <v>339</v>
      </c>
      <c r="G148" s="1">
        <f>IF(E148="pipeline",CO2_netw_links_and_costs_IC1!F148*pipe_a+pipe_b,CO2_netw_links_and_costs_IC1!F148*ship_a+ship_b)</f>
        <v>15.021090000000001</v>
      </c>
    </row>
    <row r="149" spans="1:7" x14ac:dyDescent="0.25">
      <c r="A149" t="s">
        <v>254</v>
      </c>
      <c r="B149" t="s">
        <v>183</v>
      </c>
      <c r="C149" s="27" t="s">
        <v>18</v>
      </c>
      <c r="D149" s="27" t="s">
        <v>38</v>
      </c>
      <c r="E149" t="str">
        <f>IF(F149&lt;&gt;"",(IF(F149&lt;Info!$E$27,"pipeline","shipping")),"-")</f>
        <v>pipeline</v>
      </c>
      <c r="F149">
        <v>339</v>
      </c>
      <c r="G149" s="1">
        <f>IF(E149="pipeline",CO2_netw_links_and_costs_IC1!F149*pipe_a+pipe_b,CO2_netw_links_and_costs_IC1!F149*ship_a+ship_b)</f>
        <v>15.021090000000001</v>
      </c>
    </row>
    <row r="150" spans="1:7" x14ac:dyDescent="0.25">
      <c r="A150" t="s">
        <v>254</v>
      </c>
      <c r="B150" t="s">
        <v>183</v>
      </c>
      <c r="C150" s="27" t="s">
        <v>23</v>
      </c>
      <c r="D150" s="27" t="s">
        <v>12</v>
      </c>
      <c r="E150" t="str">
        <f>IF(F150&lt;&gt;"",(IF(F150&lt;Info!$E$27,"pipeline","shipping")),"-")</f>
        <v>pipeline</v>
      </c>
      <c r="F150">
        <v>343</v>
      </c>
      <c r="G150" s="1">
        <f>IF(E150="pipeline",CO2_netw_links_and_costs_IC1!F150*pipe_a+pipe_b,CO2_netw_links_and_costs_IC1!F150*ship_a+ship_b)</f>
        <v>15.19833</v>
      </c>
    </row>
    <row r="151" spans="1:7" x14ac:dyDescent="0.25">
      <c r="A151" t="s">
        <v>254</v>
      </c>
      <c r="B151" t="s">
        <v>183</v>
      </c>
      <c r="C151" s="27" t="s">
        <v>43</v>
      </c>
      <c r="D151" s="27" t="s">
        <v>33</v>
      </c>
      <c r="E151" t="str">
        <f>IF(F151&lt;&gt;"",(IF(F151&lt;Info!$E$27,"pipeline","shipping")),"-")</f>
        <v>pipeline</v>
      </c>
      <c r="F151">
        <v>343</v>
      </c>
      <c r="G151" s="1">
        <f>IF(E151="pipeline",CO2_netw_links_and_costs_IC1!F151*pipe_a+pipe_b,CO2_netw_links_and_costs_IC1!F151*ship_a+ship_b)</f>
        <v>15.19833</v>
      </c>
    </row>
    <row r="152" spans="1:7" x14ac:dyDescent="0.25">
      <c r="A152" t="s">
        <v>254</v>
      </c>
      <c r="B152" t="s">
        <v>183</v>
      </c>
      <c r="C152" s="27" t="s">
        <v>43</v>
      </c>
      <c r="D152" s="27" t="s">
        <v>18</v>
      </c>
      <c r="E152" t="str">
        <f>IF(F152&lt;&gt;"",(IF(F152&lt;Info!$E$27,"pipeline","shipping")),"-")</f>
        <v>pipeline</v>
      </c>
      <c r="F152">
        <v>360</v>
      </c>
      <c r="G152" s="1">
        <f>IF(E152="pipeline",CO2_netw_links_and_costs_IC1!F152*pipe_a+pipe_b,CO2_netw_links_and_costs_IC1!F152*ship_a+ship_b)</f>
        <v>15.951600000000001</v>
      </c>
    </row>
    <row r="153" spans="1:7" x14ac:dyDescent="0.25">
      <c r="A153" t="s">
        <v>254</v>
      </c>
      <c r="B153" t="s">
        <v>183</v>
      </c>
      <c r="C153" s="27" t="s">
        <v>24</v>
      </c>
      <c r="D153" s="27" t="s">
        <v>19</v>
      </c>
      <c r="E153" t="str">
        <f>IF(F153&lt;&gt;"",(IF(F153&lt;Info!$E$27,"pipeline","shipping")),"-")</f>
        <v>pipeline</v>
      </c>
      <c r="F153">
        <v>364</v>
      </c>
      <c r="G153" s="1">
        <f>IF(E153="pipeline",CO2_netw_links_and_costs_IC1!F153*pipe_a+pipe_b,CO2_netw_links_and_costs_IC1!F153*ship_a+ship_b)</f>
        <v>16.12884</v>
      </c>
    </row>
    <row r="154" spans="1:7" x14ac:dyDescent="0.25">
      <c r="A154" t="s">
        <v>254</v>
      </c>
      <c r="B154" t="s">
        <v>183</v>
      </c>
      <c r="C154" s="27" t="s">
        <v>45</v>
      </c>
      <c r="D154" s="27" t="s">
        <v>33</v>
      </c>
      <c r="E154" t="str">
        <f>IF(F154&lt;&gt;"",(IF(F154&lt;Info!$E$27,"pipeline","shipping")),"-")</f>
        <v>pipeline</v>
      </c>
      <c r="F154">
        <v>370</v>
      </c>
      <c r="G154" s="1">
        <f>IF(E154="pipeline",CO2_netw_links_and_costs_IC1!F154*pipe_a+pipe_b,CO2_netw_links_and_costs_IC1!F154*ship_a+ship_b)</f>
        <v>16.3947</v>
      </c>
    </row>
    <row r="155" spans="1:7" x14ac:dyDescent="0.25">
      <c r="A155" t="s">
        <v>254</v>
      </c>
      <c r="B155" t="s">
        <v>183</v>
      </c>
      <c r="C155" s="27" t="s">
        <v>43</v>
      </c>
      <c r="D155" s="27" t="s">
        <v>23</v>
      </c>
      <c r="E155" t="str">
        <f>IF(F155&lt;&gt;"",(IF(F155&lt;Info!$E$27,"pipeline","shipping")),"-")</f>
        <v>pipeline</v>
      </c>
      <c r="F155">
        <v>376</v>
      </c>
      <c r="G155" s="1">
        <f>IF(E155="pipeline",CO2_netw_links_and_costs_IC1!F155*pipe_a+pipe_b,CO2_netw_links_and_costs_IC1!F155*ship_a+ship_b)</f>
        <v>16.66056</v>
      </c>
    </row>
    <row r="156" spans="1:7" x14ac:dyDescent="0.25">
      <c r="A156" t="s">
        <v>254</v>
      </c>
      <c r="B156" t="s">
        <v>183</v>
      </c>
      <c r="C156" s="27" t="s">
        <v>41</v>
      </c>
      <c r="D156" s="27" t="s">
        <v>46</v>
      </c>
      <c r="E156" t="str">
        <f>IF(F156&lt;&gt;"",(IF(F156&lt;Info!$E$27,"pipeline","shipping")),"-")</f>
        <v>pipeline</v>
      </c>
      <c r="F156">
        <v>380</v>
      </c>
      <c r="G156" s="1">
        <f>IF(E156="pipeline",CO2_netw_links_and_costs_IC1!F156*pipe_a+pipe_b,CO2_netw_links_and_costs_IC1!F156*ship_a+ship_b)</f>
        <v>16.837800000000001</v>
      </c>
    </row>
    <row r="157" spans="1:7" x14ac:dyDescent="0.25">
      <c r="A157" t="s">
        <v>254</v>
      </c>
      <c r="B157" t="s">
        <v>183</v>
      </c>
      <c r="C157" s="27" t="s">
        <v>13</v>
      </c>
      <c r="D157" s="27" t="s">
        <v>30</v>
      </c>
      <c r="E157" t="str">
        <f>IF(F157&lt;&gt;"",(IF(F157&lt;Info!$E$27,"pipeline","shipping")),"-")</f>
        <v>pipeline</v>
      </c>
      <c r="F157">
        <v>383</v>
      </c>
      <c r="G157" s="1">
        <f>IF(E157="pipeline",CO2_netw_links_and_costs_IC1!F157*pipe_a+pipe_b,CO2_netw_links_and_costs_IC1!F157*ship_a+ship_b)</f>
        <v>16.97073</v>
      </c>
    </row>
    <row r="158" spans="1:7" x14ac:dyDescent="0.25">
      <c r="A158" t="s">
        <v>254</v>
      </c>
      <c r="B158" t="s">
        <v>183</v>
      </c>
      <c r="C158" s="27" t="s">
        <v>41</v>
      </c>
      <c r="D158" s="27" t="s">
        <v>30</v>
      </c>
      <c r="E158" t="str">
        <f>IF(F158&lt;&gt;"",(IF(F158&lt;Info!$E$27,"pipeline","shipping")),"-")</f>
        <v>pipeline</v>
      </c>
      <c r="F158">
        <v>390</v>
      </c>
      <c r="G158" s="1">
        <f>IF(E158="pipeline",CO2_netw_links_and_costs_IC1!F158*pipe_a+pipe_b,CO2_netw_links_and_costs_IC1!F158*ship_a+ship_b)</f>
        <v>17.280900000000003</v>
      </c>
    </row>
    <row r="159" spans="1:7" x14ac:dyDescent="0.25">
      <c r="A159" t="s">
        <v>254</v>
      </c>
      <c r="B159" t="s">
        <v>183</v>
      </c>
      <c r="C159" s="27" t="s">
        <v>42</v>
      </c>
      <c r="D159" s="27" t="s">
        <v>15</v>
      </c>
      <c r="E159" t="str">
        <f>IF(F159&lt;&gt;"",(IF(F159&lt;Info!$E$27,"pipeline","shipping")),"-")</f>
        <v>pipeline</v>
      </c>
      <c r="F159">
        <v>390</v>
      </c>
      <c r="G159" s="1">
        <f>IF(E159="pipeline",CO2_netw_links_and_costs_IC1!F159*pipe_a+pipe_b,CO2_netw_links_and_costs_IC1!F159*ship_a+ship_b)</f>
        <v>17.280900000000003</v>
      </c>
    </row>
    <row r="160" spans="1:7" x14ac:dyDescent="0.25">
      <c r="A160" t="s">
        <v>254</v>
      </c>
      <c r="B160" t="s">
        <v>183</v>
      </c>
      <c r="C160" s="27" t="s">
        <v>43</v>
      </c>
      <c r="D160" s="27" t="s">
        <v>12</v>
      </c>
      <c r="E160" t="str">
        <f>IF(F160&lt;&gt;"",(IF(F160&lt;Info!$E$27,"pipeline","shipping")),"-")</f>
        <v>pipeline</v>
      </c>
      <c r="F160">
        <v>395</v>
      </c>
      <c r="G160" s="1">
        <f>IF(E160="pipeline",CO2_netw_links_and_costs_IC1!F160*pipe_a+pipe_b,CO2_netw_links_and_costs_IC1!F160*ship_a+ship_b)</f>
        <v>17.50245</v>
      </c>
    </row>
    <row r="161" spans="1:7" x14ac:dyDescent="0.25">
      <c r="A161" t="s">
        <v>254</v>
      </c>
      <c r="B161" t="s">
        <v>183</v>
      </c>
      <c r="C161" s="27" t="s">
        <v>25</v>
      </c>
      <c r="D161" s="27" t="s">
        <v>33</v>
      </c>
      <c r="E161" t="str">
        <f>IF(F161&lt;&gt;"",(IF(F161&lt;Info!$E$27,"pipeline","shipping")),"-")</f>
        <v>pipeline</v>
      </c>
      <c r="F161">
        <v>401</v>
      </c>
      <c r="G161" s="1">
        <f>IF(E161="pipeline",CO2_netw_links_and_costs_IC1!F161*pipe_a+pipe_b,CO2_netw_links_and_costs_IC1!F161*ship_a+ship_b)</f>
        <v>17.76831</v>
      </c>
    </row>
    <row r="162" spans="1:7" x14ac:dyDescent="0.25">
      <c r="A162" t="s">
        <v>254</v>
      </c>
      <c r="B162" t="s">
        <v>183</v>
      </c>
      <c r="C162" s="27" t="s">
        <v>46</v>
      </c>
      <c r="D162" s="27" t="s">
        <v>25</v>
      </c>
      <c r="E162" t="str">
        <f>IF(F162&lt;&gt;"",(IF(F162&lt;Info!$E$27,"pipeline","shipping")),"-")</f>
        <v>pipeline</v>
      </c>
      <c r="F162">
        <v>416</v>
      </c>
      <c r="G162" s="1">
        <f>IF(E162="pipeline",CO2_netw_links_and_costs_IC1!F162*pipe_a+pipe_b,CO2_netw_links_and_costs_IC1!F162*ship_a+ship_b)</f>
        <v>18.432960000000001</v>
      </c>
    </row>
    <row r="163" spans="1:7" x14ac:dyDescent="0.25">
      <c r="A163" t="s">
        <v>254</v>
      </c>
      <c r="B163" t="s">
        <v>183</v>
      </c>
      <c r="C163" s="27" t="s">
        <v>20</v>
      </c>
      <c r="D163" s="27" t="s">
        <v>18</v>
      </c>
      <c r="E163" t="str">
        <f>IF(F163&lt;&gt;"",(IF(F163&lt;Info!$E$27,"pipeline","shipping")),"-")</f>
        <v>pipeline</v>
      </c>
      <c r="F163">
        <v>428</v>
      </c>
      <c r="G163" s="1">
        <f>IF(E163="pipeline",CO2_netw_links_and_costs_IC1!F163*pipe_a+pipe_b,CO2_netw_links_and_costs_IC1!F163*ship_a+ship_b)</f>
        <v>18.964680000000001</v>
      </c>
    </row>
    <row r="164" spans="1:7" x14ac:dyDescent="0.25">
      <c r="A164" t="s">
        <v>254</v>
      </c>
      <c r="B164" t="s">
        <v>183</v>
      </c>
      <c r="C164" s="27" t="s">
        <v>16</v>
      </c>
      <c r="D164" s="27" t="s">
        <v>28</v>
      </c>
      <c r="E164" t="str">
        <f>IF(F164&lt;&gt;"",(IF(F164&lt;Info!$E$27,"pipeline","shipping")),"-")</f>
        <v>pipeline</v>
      </c>
      <c r="F164">
        <v>435</v>
      </c>
      <c r="G164" s="1">
        <f>IF(E164="pipeline",CO2_netw_links_and_costs_IC1!F164*pipe_a+pipe_b,CO2_netw_links_and_costs_IC1!F164*ship_a+ship_b)</f>
        <v>19.274850000000001</v>
      </c>
    </row>
    <row r="165" spans="1:7" x14ac:dyDescent="0.25">
      <c r="A165" t="s">
        <v>254</v>
      </c>
      <c r="B165" t="s">
        <v>183</v>
      </c>
      <c r="C165" s="27" t="s">
        <v>35</v>
      </c>
      <c r="D165" s="27" t="s">
        <v>16</v>
      </c>
      <c r="E165" t="str">
        <f>IF(F165&lt;&gt;"",(IF(F165&lt;Info!$E$27,"pipeline","shipping")),"-")</f>
        <v>pipeline</v>
      </c>
      <c r="F165">
        <v>444</v>
      </c>
      <c r="G165" s="1">
        <f>IF(E165="pipeline",CO2_netw_links_and_costs_IC1!F165*pipe_a+pipe_b,CO2_netw_links_and_costs_IC1!F165*ship_a+ship_b)</f>
        <v>19.673640000000002</v>
      </c>
    </row>
    <row r="166" spans="1:7" x14ac:dyDescent="0.25">
      <c r="A166" t="s">
        <v>254</v>
      </c>
      <c r="B166" t="s">
        <v>183</v>
      </c>
      <c r="C166" t="s">
        <v>232</v>
      </c>
      <c r="D166" t="s">
        <v>16</v>
      </c>
      <c r="E166" t="str">
        <f>IF(F166&lt;&gt;"",(IF(F166&lt;Info!$E$27,"pipeline","shipping")),"-")</f>
        <v>pipeline</v>
      </c>
      <c r="F166" s="2">
        <v>449</v>
      </c>
      <c r="G166" s="1">
        <f>IF(E166="pipeline",CO2_netw_links_and_costs_IC1!F166*pipe_a+pipe_b,CO2_netw_links_and_costs_IC1!F166*ship_a+ship_b)</f>
        <v>19.895189999999999</v>
      </c>
    </row>
    <row r="167" spans="1:7" x14ac:dyDescent="0.25">
      <c r="A167" t="s">
        <v>254</v>
      </c>
      <c r="B167" t="s">
        <v>183</v>
      </c>
      <c r="C167" s="27" t="s">
        <v>17</v>
      </c>
      <c r="D167" s="27" t="s">
        <v>12</v>
      </c>
      <c r="E167" t="str">
        <f>IF(F167&lt;&gt;"",(IF(F167&lt;Info!$E$27,"pipeline","shipping")),"-")</f>
        <v>pipeline</v>
      </c>
      <c r="F167">
        <v>450</v>
      </c>
      <c r="G167" s="1">
        <f>IF(E167="pipeline",CO2_netw_links_and_costs_IC1!F167*pipe_a+pipe_b,CO2_netw_links_and_costs_IC1!F167*ship_a+ship_b)</f>
        <v>19.939500000000002</v>
      </c>
    </row>
    <row r="168" spans="1:7" x14ac:dyDescent="0.25">
      <c r="A168" t="s">
        <v>254</v>
      </c>
      <c r="B168" t="s">
        <v>183</v>
      </c>
      <c r="C168" s="27" t="s">
        <v>23</v>
      </c>
      <c r="D168" s="27" t="s">
        <v>33</v>
      </c>
      <c r="E168" t="str">
        <f>IF(F168&lt;&gt;"",(IF(F168&lt;Info!$E$27,"pipeline","shipping")),"-")</f>
        <v>pipeline</v>
      </c>
      <c r="F168">
        <v>452</v>
      </c>
      <c r="G168" s="1">
        <f>IF(E168="pipeline",CO2_netw_links_and_costs_IC1!F168*pipe_a+pipe_b,CO2_netw_links_and_costs_IC1!F168*ship_a+ship_b)</f>
        <v>20.028120000000001</v>
      </c>
    </row>
    <row r="169" spans="1:7" x14ac:dyDescent="0.25">
      <c r="A169" t="s">
        <v>254</v>
      </c>
      <c r="B169" t="s">
        <v>183</v>
      </c>
      <c r="C169" t="s">
        <v>236</v>
      </c>
      <c r="D169" t="s">
        <v>16</v>
      </c>
      <c r="E169" t="str">
        <f>IF(F169&lt;&gt;"",(IF(F169&lt;Info!$E$27,"pipeline","shipping")),"-")</f>
        <v>pipeline</v>
      </c>
      <c r="F169" s="2">
        <v>455</v>
      </c>
      <c r="G169" s="1">
        <f>IF(E169="pipeline",CO2_netw_links_and_costs_IC1!F169*pipe_a+pipe_b,CO2_netw_links_and_costs_IC1!F169*ship_a+ship_b)</f>
        <v>20.161049999999999</v>
      </c>
    </row>
    <row r="170" spans="1:7" x14ac:dyDescent="0.25">
      <c r="A170" t="s">
        <v>254</v>
      </c>
      <c r="B170" t="s">
        <v>183</v>
      </c>
      <c r="C170" s="27" t="s">
        <v>28</v>
      </c>
      <c r="D170" s="27" t="s">
        <v>25</v>
      </c>
      <c r="E170" t="str">
        <f>IF(F170&lt;&gt;"",(IF(F170&lt;Info!$E$27,"pipeline","shipping")),"-")</f>
        <v>pipeline</v>
      </c>
      <c r="F170">
        <v>456</v>
      </c>
      <c r="G170" s="1">
        <f>IF(E170="pipeline",CO2_netw_links_and_costs_IC1!F170*pipe_a+pipe_b,CO2_netw_links_and_costs_IC1!F170*ship_a+ship_b)</f>
        <v>20.205360000000002</v>
      </c>
    </row>
    <row r="171" spans="1:7" x14ac:dyDescent="0.25">
      <c r="A171" t="s">
        <v>254</v>
      </c>
      <c r="B171" t="s">
        <v>183</v>
      </c>
      <c r="C171" s="27" t="s">
        <v>41</v>
      </c>
      <c r="D171" s="27" t="s">
        <v>34</v>
      </c>
      <c r="E171" t="str">
        <f>IF(F171&lt;&gt;"",(IF(F171&lt;Info!$E$27,"pipeline","shipping")),"-")</f>
        <v>pipeline</v>
      </c>
      <c r="F171">
        <v>465</v>
      </c>
      <c r="G171" s="1">
        <f>IF(E171="pipeline",CO2_netw_links_and_costs_IC1!F171*pipe_a+pipe_b,CO2_netw_links_and_costs_IC1!F171*ship_a+ship_b)</f>
        <v>20.604150000000001</v>
      </c>
    </row>
    <row r="172" spans="1:7" x14ac:dyDescent="0.25">
      <c r="A172" t="s">
        <v>254</v>
      </c>
      <c r="B172" t="s">
        <v>183</v>
      </c>
      <c r="C172" t="s">
        <v>235</v>
      </c>
      <c r="D172" t="s">
        <v>16</v>
      </c>
      <c r="E172" t="str">
        <f>IF(F172&lt;&gt;"",(IF(F172&lt;Info!$E$27,"pipeline","shipping")),"-")</f>
        <v>pipeline</v>
      </c>
      <c r="F172" s="2">
        <v>466</v>
      </c>
      <c r="G172" s="1">
        <f>IF(E172="pipeline",CO2_netw_links_and_costs_IC1!F172*pipe_a+pipe_b,CO2_netw_links_and_costs_IC1!F172*ship_a+ship_b)</f>
        <v>20.64846</v>
      </c>
    </row>
    <row r="173" spans="1:7" x14ac:dyDescent="0.25">
      <c r="A173" t="s">
        <v>254</v>
      </c>
      <c r="B173" t="s">
        <v>183</v>
      </c>
      <c r="C173" s="27" t="s">
        <v>13</v>
      </c>
      <c r="D173" s="27" t="s">
        <v>25</v>
      </c>
      <c r="E173" t="str">
        <f>IF(F173&lt;&gt;"",(IF(F173&lt;Info!$E$27,"pipeline","shipping")),"-")</f>
        <v>pipeline</v>
      </c>
      <c r="F173">
        <v>477</v>
      </c>
      <c r="G173" s="1">
        <f>IF(E173="pipeline",CO2_netw_links_and_costs_IC1!F173*pipe_a+pipe_b,CO2_netw_links_and_costs_IC1!F173*ship_a+ship_b)</f>
        <v>21.135870000000001</v>
      </c>
    </row>
    <row r="174" spans="1:7" x14ac:dyDescent="0.25">
      <c r="A174" t="s">
        <v>254</v>
      </c>
      <c r="B174" t="s">
        <v>183</v>
      </c>
      <c r="C174" s="27" t="s">
        <v>47</v>
      </c>
      <c r="D174" s="27" t="s">
        <v>29</v>
      </c>
      <c r="E174" t="str">
        <f>IF(F174&lt;&gt;"",(IF(F174&lt;Info!$E$27,"pipeline","shipping")),"-")</f>
        <v>pipeline</v>
      </c>
      <c r="F174">
        <v>478</v>
      </c>
      <c r="G174" s="1">
        <f>IF(E174="pipeline",CO2_netw_links_and_costs_IC1!F174*pipe_a+pipe_b,CO2_netw_links_and_costs_IC1!F174*ship_a+ship_b)</f>
        <v>21.18018</v>
      </c>
    </row>
    <row r="175" spans="1:7" x14ac:dyDescent="0.25">
      <c r="A175" t="s">
        <v>254</v>
      </c>
      <c r="B175" t="s">
        <v>183</v>
      </c>
      <c r="C175" t="s">
        <v>237</v>
      </c>
      <c r="D175" t="s">
        <v>16</v>
      </c>
      <c r="E175" t="str">
        <f>IF(F175&lt;&gt;"",(IF(F175&lt;Info!$E$27,"pipeline","shipping")),"-")</f>
        <v>pipeline</v>
      </c>
      <c r="F175" s="2">
        <v>495</v>
      </c>
      <c r="G175" s="1">
        <f>IF(E175="pipeline",CO2_netw_links_and_costs_IC1!F175*pipe_a+pipe_b,CO2_netw_links_and_costs_IC1!F175*ship_a+ship_b)</f>
        <v>21.933450000000001</v>
      </c>
    </row>
    <row r="176" spans="1:7" x14ac:dyDescent="0.25">
      <c r="A176" t="s">
        <v>254</v>
      </c>
      <c r="B176" t="s">
        <v>183</v>
      </c>
      <c r="C176" s="27" t="s">
        <v>13</v>
      </c>
      <c r="D176" s="27" t="s">
        <v>28</v>
      </c>
      <c r="E176" t="str">
        <f>IF(F176&lt;&gt;"",(IF(F176&lt;Info!$E$27,"pipeline","shipping")),"-")</f>
        <v>pipeline</v>
      </c>
      <c r="F176">
        <v>505</v>
      </c>
      <c r="G176" s="1">
        <f>IF(E176="pipeline",CO2_netw_links_and_costs_IC1!F176*pipe_a+pipe_b,CO2_netw_links_and_costs_IC1!F176*ship_a+ship_b)</f>
        <v>22.376550000000002</v>
      </c>
    </row>
    <row r="177" spans="1:7" x14ac:dyDescent="0.25">
      <c r="A177" t="s">
        <v>254</v>
      </c>
      <c r="B177" t="s">
        <v>183</v>
      </c>
      <c r="C177" s="27" t="s">
        <v>44</v>
      </c>
      <c r="D177" s="27" t="s">
        <v>32</v>
      </c>
      <c r="E177" t="str">
        <f>IF(F177&lt;&gt;"",(IF(F177&lt;Info!$E$27,"pipeline","shipping")),"-")</f>
        <v>pipeline</v>
      </c>
      <c r="F177">
        <v>506</v>
      </c>
      <c r="G177" s="1">
        <f>IF(E177="pipeline",CO2_netw_links_and_costs_IC1!F177*pipe_a+pipe_b,CO2_netw_links_and_costs_IC1!F177*ship_a+ship_b)</f>
        <v>22.420860000000001</v>
      </c>
    </row>
    <row r="178" spans="1:7" x14ac:dyDescent="0.25">
      <c r="A178" t="s">
        <v>254</v>
      </c>
      <c r="B178" t="s">
        <v>183</v>
      </c>
      <c r="C178" s="27" t="s">
        <v>20</v>
      </c>
      <c r="D178" s="27" t="s">
        <v>28</v>
      </c>
      <c r="E178" t="str">
        <f>IF(F178&lt;&gt;"",(IF(F178&lt;Info!$E$27,"pipeline","shipping")),"-")</f>
        <v>pipeline</v>
      </c>
      <c r="F178">
        <v>539</v>
      </c>
      <c r="G178" s="1">
        <f>IF(E178="pipeline",CO2_netw_links_and_costs_IC1!F178*pipe_a+pipe_b,CO2_netw_links_and_costs_IC1!F178*ship_a+ship_b)</f>
        <v>23.883090000000003</v>
      </c>
    </row>
    <row r="179" spans="1:7" x14ac:dyDescent="0.25">
      <c r="A179" t="s">
        <v>254</v>
      </c>
      <c r="B179" t="s">
        <v>183</v>
      </c>
      <c r="C179" s="27" t="s">
        <v>14</v>
      </c>
      <c r="D179" s="27" t="s">
        <v>13</v>
      </c>
      <c r="E179" t="str">
        <f>IF(F179&lt;&gt;"",(IF(F179&lt;Info!$E$27,"pipeline","shipping")),"-")</f>
        <v>pipeline</v>
      </c>
      <c r="F179">
        <v>541</v>
      </c>
      <c r="G179" s="1">
        <f>IF(E179="pipeline",CO2_netw_links_and_costs_IC1!F179*pipe_a+pipe_b,CO2_netw_links_and_costs_IC1!F179*ship_a+ship_b)</f>
        <v>23.971710000000002</v>
      </c>
    </row>
    <row r="180" spans="1:7" x14ac:dyDescent="0.25">
      <c r="A180" t="s">
        <v>254</v>
      </c>
      <c r="B180" t="s">
        <v>183</v>
      </c>
      <c r="C180" s="27" t="s">
        <v>20</v>
      </c>
      <c r="D180" s="27" t="s">
        <v>25</v>
      </c>
      <c r="E180" t="str">
        <f>IF(F180&lt;&gt;"",(IF(F180&lt;Info!$E$27,"pipeline","shipping")),"-")</f>
        <v>pipeline</v>
      </c>
      <c r="F180">
        <v>557</v>
      </c>
      <c r="G180" s="1">
        <f>IF(E180="pipeline",CO2_netw_links_and_costs_IC1!F180*pipe_a+pipe_b,CO2_netw_links_and_costs_IC1!F180*ship_a+ship_b)</f>
        <v>24.680670000000003</v>
      </c>
    </row>
    <row r="181" spans="1:7" x14ac:dyDescent="0.25">
      <c r="A181" t="s">
        <v>254</v>
      </c>
      <c r="B181" t="s">
        <v>183</v>
      </c>
      <c r="C181" s="27" t="s">
        <v>22</v>
      </c>
      <c r="D181" s="27" t="s">
        <v>32</v>
      </c>
      <c r="E181" t="str">
        <f>IF(F181&lt;&gt;"",(IF(F181&lt;Info!$E$27,"pipeline","shipping")),"-")</f>
        <v>pipeline</v>
      </c>
      <c r="F181">
        <v>584</v>
      </c>
      <c r="G181" s="1">
        <f>IF(E181="pipeline",CO2_netw_links_and_costs_IC1!F181*pipe_a+pipe_b,CO2_netw_links_and_costs_IC1!F181*ship_a+ship_b)</f>
        <v>25.877040000000001</v>
      </c>
    </row>
    <row r="182" spans="1:7" x14ac:dyDescent="0.25">
      <c r="A182" t="s">
        <v>254</v>
      </c>
      <c r="B182" t="s">
        <v>183</v>
      </c>
      <c r="C182" s="27" t="s">
        <v>20</v>
      </c>
      <c r="D182" s="27" t="s">
        <v>38</v>
      </c>
      <c r="E182" t="str">
        <f>IF(F182&lt;&gt;"",(IF(F182&lt;Info!$E$27,"pipeline","shipping")),"-")</f>
        <v>pipeline</v>
      </c>
      <c r="F182">
        <v>587</v>
      </c>
      <c r="G182" s="1">
        <f>IF(E182="pipeline",CO2_netw_links_and_costs_IC1!F182*pipe_a+pipe_b,CO2_netw_links_and_costs_IC1!F182*ship_a+ship_b)</f>
        <v>26.009970000000003</v>
      </c>
    </row>
    <row r="183" spans="1:7" x14ac:dyDescent="0.25">
      <c r="A183" t="s">
        <v>254</v>
      </c>
      <c r="B183" t="s">
        <v>183</v>
      </c>
      <c r="C183" s="27" t="s">
        <v>41</v>
      </c>
      <c r="D183" s="27" t="s">
        <v>13</v>
      </c>
      <c r="E183" t="str">
        <f>IF(F183&lt;&gt;"",(IF(F183&lt;Info!$E$27,"pipeline","shipping")),"-")</f>
        <v>pipeline</v>
      </c>
      <c r="F183">
        <v>634</v>
      </c>
      <c r="G183" s="1">
        <f>IF(E183="pipeline",CO2_netw_links_and_costs_IC1!F183*pipe_a+pipe_b,CO2_netw_links_and_costs_IC1!F183*ship_a+ship_b)</f>
        <v>28.09254</v>
      </c>
    </row>
    <row r="184" spans="1:7" x14ac:dyDescent="0.25">
      <c r="A184" t="s">
        <v>254</v>
      </c>
      <c r="B184" t="s">
        <v>183</v>
      </c>
      <c r="C184" s="27" t="s">
        <v>32</v>
      </c>
      <c r="D184" s="27" t="s">
        <v>31</v>
      </c>
      <c r="E184" t="str">
        <f>IF(F184&lt;&gt;"",(IF(F184&lt;Info!$E$27,"pipeline","shipping")),"-")</f>
        <v>pipeline</v>
      </c>
      <c r="F184">
        <v>648</v>
      </c>
      <c r="G184" s="1">
        <f>IF(E184="pipeline",CO2_netw_links_and_costs_IC1!F184*pipe_a+pipe_b,CO2_netw_links_and_costs_IC1!F184*ship_a+ship_b)</f>
        <v>28.712880000000002</v>
      </c>
    </row>
    <row r="185" spans="1:7" x14ac:dyDescent="0.25">
      <c r="A185" t="s">
        <v>254</v>
      </c>
      <c r="B185" t="s">
        <v>183</v>
      </c>
      <c r="C185" s="27" t="s">
        <v>44</v>
      </c>
      <c r="D185" s="27" t="s">
        <v>31</v>
      </c>
      <c r="E185" t="str">
        <f>IF(F185&lt;&gt;"",(IF(F185&lt;Info!$E$27,"pipeline","shipping")),"-")</f>
        <v>pipeline</v>
      </c>
      <c r="F185">
        <v>662</v>
      </c>
      <c r="G185" s="1">
        <f>IF(E185="pipeline",CO2_netw_links_and_costs_IC1!F185*pipe_a+pipe_b,CO2_netw_links_and_costs_IC1!F185*ship_a+ship_b)</f>
        <v>29.333220000000001</v>
      </c>
    </row>
    <row r="186" spans="1:7" x14ac:dyDescent="0.25">
      <c r="A186" t="s">
        <v>254</v>
      </c>
      <c r="B186" t="s">
        <v>183</v>
      </c>
      <c r="C186" s="27" t="s">
        <v>16</v>
      </c>
      <c r="D186" s="27" t="s">
        <v>13</v>
      </c>
      <c r="E186" t="str">
        <f>IF(F186&lt;&gt;"",(IF(F186&lt;Info!$E$27,"pipeline","shipping")),"-")</f>
        <v>pipeline</v>
      </c>
      <c r="F186">
        <v>766</v>
      </c>
      <c r="G186" s="1">
        <f>IF(E186="pipeline",CO2_netw_links_and_costs_IC1!F186*pipe_a+pipe_b,CO2_netw_links_and_costs_IC1!F186*ship_a+ship_b)</f>
        <v>33.941459999999999</v>
      </c>
    </row>
    <row r="187" spans="1:7" x14ac:dyDescent="0.25">
      <c r="A187" t="s">
        <v>254</v>
      </c>
      <c r="B187" t="s">
        <v>183</v>
      </c>
      <c r="C187" s="27" t="s">
        <v>40</v>
      </c>
      <c r="D187" s="27" t="s">
        <v>20</v>
      </c>
      <c r="E187" t="str">
        <f>IF(F187&lt;&gt;"",(IF(F187&lt;Info!$E$27,"pipeline","shipping")),"-")</f>
        <v>pipeline</v>
      </c>
      <c r="F187">
        <v>789</v>
      </c>
      <c r="G187" s="1">
        <f>IF(E187="pipeline",CO2_netw_links_and_costs_IC1!F187*pipe_a+pipe_b,CO2_netw_links_and_costs_IC1!F187*ship_a+ship_b)</f>
        <v>34.960590000000003</v>
      </c>
    </row>
    <row r="188" spans="1:7" x14ac:dyDescent="0.25">
      <c r="A188" t="s">
        <v>254</v>
      </c>
      <c r="B188" t="s">
        <v>183</v>
      </c>
      <c r="C188" s="27" t="s">
        <v>44</v>
      </c>
      <c r="D188" s="27" t="s">
        <v>36</v>
      </c>
      <c r="E188" t="str">
        <f>IF(F188&lt;&gt;"",(IF(F188&lt;Info!$E$27,"pipeline","shipping")),"-")</f>
        <v>pipeline</v>
      </c>
      <c r="F188">
        <v>802</v>
      </c>
      <c r="G188" s="1">
        <f>IF(E188="pipeline",CO2_netw_links_and_costs_IC1!F188*pipe_a+pipe_b,CO2_netw_links_and_costs_IC1!F188*ship_a+ship_b)</f>
        <v>35.536619999999999</v>
      </c>
    </row>
    <row r="189" spans="1:7" x14ac:dyDescent="0.25">
      <c r="A189" t="s">
        <v>254</v>
      </c>
      <c r="B189" t="s">
        <v>183</v>
      </c>
      <c r="C189" s="27" t="s">
        <v>40</v>
      </c>
      <c r="D189" s="27" t="s">
        <v>17</v>
      </c>
      <c r="E189" t="str">
        <f>IF(F189&lt;&gt;"",(IF(F189&lt;Info!$E$27,"pipeline","shipping")),"-")</f>
        <v>pipeline</v>
      </c>
      <c r="F189">
        <v>823</v>
      </c>
      <c r="G189" s="1">
        <f>IF(E189="pipeline",CO2_netw_links_and_costs_IC1!F189*pipe_a+pipe_b,CO2_netw_links_and_costs_IC1!F189*ship_a+ship_b)</f>
        <v>36.467130000000004</v>
      </c>
    </row>
    <row r="190" spans="1:7" x14ac:dyDescent="0.25">
      <c r="A190" t="s">
        <v>254</v>
      </c>
      <c r="B190" t="s">
        <v>183</v>
      </c>
      <c r="C190" s="27" t="s">
        <v>16</v>
      </c>
      <c r="D190" s="27" t="s">
        <v>15</v>
      </c>
      <c r="E190" t="str">
        <f>IF(F190&lt;&gt;"",(IF(F190&lt;Info!$E$27,"pipeline","shipping")),"-")</f>
        <v>pipeline</v>
      </c>
      <c r="F190">
        <v>842</v>
      </c>
      <c r="G190" s="1">
        <f>IF(E190="pipeline",CO2_netw_links_and_costs_IC1!F190*pipe_a+pipe_b,CO2_netw_links_and_costs_IC1!F190*ship_a+ship_b)</f>
        <v>37.309020000000004</v>
      </c>
    </row>
    <row r="191" spans="1:7" x14ac:dyDescent="0.25">
      <c r="A191" t="s">
        <v>254</v>
      </c>
      <c r="B191" t="s">
        <v>183</v>
      </c>
      <c r="C191" s="27" t="s">
        <v>44</v>
      </c>
      <c r="D191" s="27" t="s">
        <v>14</v>
      </c>
      <c r="E191" t="str">
        <f>IF(F191&lt;&gt;"",(IF(F191&lt;Info!$E$27,"pipeline","shipping")),"-")</f>
        <v>pipeline</v>
      </c>
      <c r="F191">
        <v>849</v>
      </c>
      <c r="G191" s="1">
        <f>IF(E191="pipeline",CO2_netw_links_and_costs_IC1!F191*pipe_a+pipe_b,CO2_netw_links_and_costs_IC1!F191*ship_a+ship_b)</f>
        <v>37.619190000000003</v>
      </c>
    </row>
    <row r="192" spans="1:7" x14ac:dyDescent="0.25">
      <c r="A192" t="s">
        <v>254</v>
      </c>
      <c r="B192" t="s">
        <v>183</v>
      </c>
      <c r="C192" s="27" t="s">
        <v>20</v>
      </c>
      <c r="D192" s="27" t="s">
        <v>16</v>
      </c>
      <c r="E192" t="str">
        <f>IF(F192&lt;&gt;"",(IF(F192&lt;Info!$E$27,"pipeline","shipping")),"-")</f>
        <v>pipeline</v>
      </c>
      <c r="F192">
        <v>862</v>
      </c>
      <c r="G192" s="1">
        <f>IF(E192="pipeline",CO2_netw_links_and_costs_IC1!F192*pipe_a+pipe_b,CO2_netw_links_and_costs_IC1!F192*ship_a+ship_b)</f>
        <v>38.195219999999999</v>
      </c>
    </row>
    <row r="193" spans="1:7" x14ac:dyDescent="0.25">
      <c r="A193" t="s">
        <v>254</v>
      </c>
      <c r="B193" t="s">
        <v>183</v>
      </c>
      <c r="C193" s="27" t="s">
        <v>48</v>
      </c>
      <c r="D193" s="27" t="s">
        <v>34</v>
      </c>
      <c r="E193" t="str">
        <f>IF(F193&lt;&gt;"",(IF(F193&lt;Info!$E$27,"pipeline","shipping")),"-")</f>
        <v>shipping</v>
      </c>
      <c r="F193">
        <v>869</v>
      </c>
      <c r="G193" s="1">
        <f>IF(E193="pipeline",CO2_netw_links_and_costs_IC1!F193*pipe_a+pipe_b,CO2_netw_links_and_costs_IC1!F193*ship_a+ship_b)</f>
        <v>38.327599999999997</v>
      </c>
    </row>
    <row r="194" spans="1:7" x14ac:dyDescent="0.25">
      <c r="A194" t="s">
        <v>254</v>
      </c>
      <c r="B194" t="s">
        <v>183</v>
      </c>
      <c r="C194" s="27" t="s">
        <v>48</v>
      </c>
      <c r="D194" s="27" t="s">
        <v>46</v>
      </c>
      <c r="E194" t="str">
        <f>IF(F194&lt;&gt;"",(IF(F194&lt;Info!$E$27,"pipeline","shipping")),"-")</f>
        <v>shipping</v>
      </c>
      <c r="F194">
        <v>873</v>
      </c>
      <c r="G194" s="1">
        <f>IF(E194="pipeline",CO2_netw_links_and_costs_IC1!F194*pipe_a+pipe_b,CO2_netw_links_and_costs_IC1!F194*ship_a+ship_b)</f>
        <v>38.377200000000002</v>
      </c>
    </row>
    <row r="195" spans="1:7" x14ac:dyDescent="0.25">
      <c r="A195" t="s">
        <v>254</v>
      </c>
      <c r="B195" t="s">
        <v>183</v>
      </c>
      <c r="C195" s="27" t="s">
        <v>48</v>
      </c>
      <c r="D195" s="27" t="s">
        <v>41</v>
      </c>
      <c r="E195" t="str">
        <f>IF(F195&lt;&gt;"",(IF(F195&lt;Info!$E$27,"pipeline","shipping")),"-")</f>
        <v>shipping</v>
      </c>
      <c r="F195">
        <v>916</v>
      </c>
      <c r="G195" s="1">
        <f>IF(E195="pipeline",CO2_netw_links_and_costs_IC1!F195*pipe_a+pipe_b,CO2_netw_links_and_costs_IC1!F195*ship_a+ship_b)</f>
        <v>38.910399999999996</v>
      </c>
    </row>
    <row r="196" spans="1:7" x14ac:dyDescent="0.25">
      <c r="A196" t="s">
        <v>254</v>
      </c>
      <c r="B196" t="s">
        <v>183</v>
      </c>
      <c r="C196" s="27" t="s">
        <v>47</v>
      </c>
      <c r="D196" s="27" t="s">
        <v>12</v>
      </c>
      <c r="E196" t="str">
        <f>IF(F196&lt;&gt;"",(IF(F196&lt;Info!$E$27,"pipeline","shipping")),"-")</f>
        <v>shipping</v>
      </c>
      <c r="F196">
        <v>931</v>
      </c>
      <c r="G196" s="1">
        <f>IF(E196="pipeline",CO2_netw_links_and_costs_IC1!F196*pipe_a+pipe_b,CO2_netw_links_and_costs_IC1!F196*ship_a+ship_b)</f>
        <v>39.096400000000003</v>
      </c>
    </row>
    <row r="197" spans="1:7" x14ac:dyDescent="0.25">
      <c r="A197" t="s">
        <v>254</v>
      </c>
      <c r="B197" t="s">
        <v>183</v>
      </c>
      <c r="C197" s="27" t="s">
        <v>17</v>
      </c>
      <c r="D197" s="27" t="s">
        <v>29</v>
      </c>
      <c r="E197" t="str">
        <f>IF(F197&lt;&gt;"",(IF(F197&lt;Info!$E$27,"pipeline","shipping")),"-")</f>
        <v>shipping</v>
      </c>
      <c r="F197">
        <v>1033</v>
      </c>
      <c r="G197" s="1">
        <f>IF(E197="pipeline",CO2_netw_links_and_costs_IC1!F197*pipe_a+pipe_b,CO2_netw_links_and_costs_IC1!F197*ship_a+ship_b)</f>
        <v>40.361199999999997</v>
      </c>
    </row>
    <row r="198" spans="1:7" x14ac:dyDescent="0.25">
      <c r="A198" t="s">
        <v>254</v>
      </c>
      <c r="B198" t="s">
        <v>183</v>
      </c>
      <c r="C198" s="27" t="s">
        <v>47</v>
      </c>
      <c r="D198" s="27" t="s">
        <v>17</v>
      </c>
      <c r="E198" t="str">
        <f>IF(F198&lt;&gt;"",(IF(F198&lt;Info!$E$27,"pipeline","shipping")),"-")</f>
        <v>shipping</v>
      </c>
      <c r="F198">
        <v>1070</v>
      </c>
      <c r="G198" s="1">
        <f>IF(E198="pipeline",CO2_netw_links_and_costs_IC1!F198*pipe_a+pipe_b,CO2_netw_links_and_costs_IC1!F198*ship_a+ship_b)</f>
        <v>40.82</v>
      </c>
    </row>
    <row r="199" spans="1:7" x14ac:dyDescent="0.25">
      <c r="A199" t="s">
        <v>254</v>
      </c>
      <c r="B199" t="s">
        <v>183</v>
      </c>
      <c r="C199" s="27" t="s">
        <v>48</v>
      </c>
      <c r="D199" s="27" t="s">
        <v>47</v>
      </c>
      <c r="E199" t="str">
        <f>IF(F199&lt;&gt;"",(IF(F199&lt;Info!$E$27,"pipeline","shipping")),"-")</f>
        <v>shipping</v>
      </c>
      <c r="F199">
        <v>1146</v>
      </c>
      <c r="G199" s="1">
        <f>IF(E199="pipeline",CO2_netw_links_and_costs_IC1!F199*pipe_a+pipe_b,CO2_netw_links_and_costs_IC1!F199*ship_a+ship_b)</f>
        <v>41.7624</v>
      </c>
    </row>
    <row r="200" spans="1:7" x14ac:dyDescent="0.25">
      <c r="A200" t="s">
        <v>254</v>
      </c>
      <c r="B200" t="s">
        <v>183</v>
      </c>
      <c r="C200" s="27" t="s">
        <v>40</v>
      </c>
      <c r="D200" s="27" t="s">
        <v>15</v>
      </c>
      <c r="E200" t="str">
        <f>IF(F200&lt;&gt;"",(IF(F200&lt;Info!$E$27,"pipeline","shipping")),"-")</f>
        <v>shipping</v>
      </c>
      <c r="F200">
        <v>1641</v>
      </c>
      <c r="G200" s="1">
        <f>IF(E200="pipeline",CO2_netw_links_and_costs_IC1!F200*pipe_a+pipe_b,CO2_netw_links_and_costs_IC1!F200*ship_a+ship_b)</f>
        <v>47.900399999999998</v>
      </c>
    </row>
    <row r="201" spans="1:7" x14ac:dyDescent="0.25">
      <c r="G201" s="1"/>
    </row>
    <row r="202" spans="1:7" x14ac:dyDescent="0.25">
      <c r="G202" s="1"/>
    </row>
  </sheetData>
  <autoFilter ref="A1:G200" xr:uid="{9B69F19D-AA1F-4116-8175-34B6CB3DCF56}"/>
  <phoneticPr fontId="23" type="noConversion"/>
  <conditionalFormatting sqref="H2:H387">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4BB7A-37B7-49F6-8135-A5DDF1FCBD69}">
  <sheetPr>
    <tabColor theme="6" tint="0.79998168889431442"/>
  </sheetPr>
  <dimension ref="A1:R81"/>
  <sheetViews>
    <sheetView zoomScale="70" zoomScaleNormal="70" workbookViewId="0">
      <selection activeCell="E40" sqref="E40"/>
    </sheetView>
  </sheetViews>
  <sheetFormatPr defaultRowHeight="15" x14ac:dyDescent="0.25"/>
  <cols>
    <col min="2" max="9" width="18.85546875" customWidth="1"/>
    <col min="17" max="17" width="17.28515625" bestFit="1" customWidth="1"/>
    <col min="18" max="18" width="10" bestFit="1" customWidth="1"/>
  </cols>
  <sheetData>
    <row r="1" spans="1:18" x14ac:dyDescent="0.25">
      <c r="C1" t="s">
        <v>208</v>
      </c>
      <c r="Q1" s="1"/>
      <c r="R1" s="1"/>
    </row>
    <row r="2" spans="1:18" x14ac:dyDescent="0.25">
      <c r="C2" t="s">
        <v>209</v>
      </c>
      <c r="Q2" s="1"/>
      <c r="R2" s="1"/>
    </row>
    <row r="3" spans="1:18" x14ac:dyDescent="0.25">
      <c r="H3" t="s">
        <v>3</v>
      </c>
      <c r="I3" t="s">
        <v>4</v>
      </c>
      <c r="Q3" s="1"/>
      <c r="R3" s="1"/>
    </row>
    <row r="4" spans="1:18" x14ac:dyDescent="0.25">
      <c r="A4" t="s">
        <v>200</v>
      </c>
      <c r="B4" t="s">
        <v>2</v>
      </c>
      <c r="C4" t="s">
        <v>201</v>
      </c>
      <c r="D4" t="s">
        <v>202</v>
      </c>
      <c r="E4" t="s">
        <v>203</v>
      </c>
      <c r="F4" t="s">
        <v>204</v>
      </c>
      <c r="G4" t="s">
        <v>205</v>
      </c>
      <c r="H4" t="s">
        <v>207</v>
      </c>
      <c r="I4" t="s">
        <v>207</v>
      </c>
    </row>
    <row r="5" spans="1:18" x14ac:dyDescent="0.25">
      <c r="B5">
        <v>500</v>
      </c>
      <c r="C5" s="1">
        <v>16.28</v>
      </c>
      <c r="D5" s="1">
        <v>11.87</v>
      </c>
      <c r="E5" s="1">
        <v>2.8</v>
      </c>
      <c r="F5" s="1">
        <v>11.78</v>
      </c>
      <c r="G5" s="1">
        <v>0.15</v>
      </c>
      <c r="H5" s="28">
        <f>SUM(C5:G5)</f>
        <v>42.879999999999995</v>
      </c>
      <c r="I5" s="28">
        <f>H5*exchange_rate_USD25_EUR25</f>
        <v>38.000255999999993</v>
      </c>
    </row>
    <row r="6" spans="1:18" x14ac:dyDescent="0.25">
      <c r="B6">
        <v>1000</v>
      </c>
      <c r="C6" s="1">
        <v>16.28</v>
      </c>
      <c r="D6" s="1">
        <v>17.8</v>
      </c>
      <c r="E6" s="1">
        <v>2.8</v>
      </c>
      <c r="F6" s="1">
        <v>13.98</v>
      </c>
      <c r="G6" s="1">
        <v>0.23</v>
      </c>
      <c r="H6" s="28">
        <f>SUM(C6:G6)</f>
        <v>51.089999999999996</v>
      </c>
      <c r="I6" s="28">
        <f>H6*exchange_rate_USD25_EUR25</f>
        <v>45.275957999999996</v>
      </c>
    </row>
    <row r="7" spans="1:18" x14ac:dyDescent="0.25">
      <c r="B7">
        <v>1500</v>
      </c>
      <c r="C7" s="1">
        <v>16.28</v>
      </c>
      <c r="D7" s="1">
        <v>23.74</v>
      </c>
      <c r="E7" s="1">
        <v>2.8</v>
      </c>
      <c r="F7" s="1">
        <v>15.75</v>
      </c>
      <c r="G7" s="1">
        <v>0.3</v>
      </c>
      <c r="H7" s="28">
        <f>SUM(C7:G7)</f>
        <v>58.86999999999999</v>
      </c>
      <c r="I7" s="28">
        <f>H7*exchange_rate_USD25_EUR25</f>
        <v>52.170593999999994</v>
      </c>
    </row>
    <row r="8" spans="1:18" x14ac:dyDescent="0.25">
      <c r="B8">
        <v>2000</v>
      </c>
      <c r="C8" s="1">
        <v>16.28</v>
      </c>
      <c r="D8" s="1">
        <v>29.67</v>
      </c>
      <c r="E8" s="1">
        <v>2.8</v>
      </c>
      <c r="F8" s="1">
        <v>17.260000000000002</v>
      </c>
      <c r="G8" s="1">
        <v>0.38</v>
      </c>
      <c r="H8" s="28">
        <f>SUM(C8:G8)</f>
        <v>66.39</v>
      </c>
      <c r="I8" s="28">
        <f>H8*exchange_rate_USD25_EUR25</f>
        <v>58.834817999999999</v>
      </c>
    </row>
    <row r="9" spans="1:18" x14ac:dyDescent="0.25">
      <c r="A9" t="s">
        <v>206</v>
      </c>
      <c r="B9" t="s">
        <v>2</v>
      </c>
      <c r="C9" t="s">
        <v>201</v>
      </c>
      <c r="D9" t="s">
        <v>202</v>
      </c>
      <c r="E9" t="s">
        <v>203</v>
      </c>
      <c r="F9" t="s">
        <v>204</v>
      </c>
      <c r="G9" t="s">
        <v>205</v>
      </c>
      <c r="H9" t="s">
        <v>207</v>
      </c>
      <c r="I9" t="s">
        <v>207</v>
      </c>
    </row>
    <row r="10" spans="1:18" x14ac:dyDescent="0.25">
      <c r="B10">
        <v>500</v>
      </c>
      <c r="C10" s="1">
        <v>16.28</v>
      </c>
      <c r="D10" s="1">
        <v>11.87</v>
      </c>
      <c r="E10">
        <v>2.8</v>
      </c>
      <c r="F10" s="1">
        <v>7</v>
      </c>
      <c r="G10" s="1">
        <v>0.15</v>
      </c>
      <c r="H10" s="3">
        <f>SUM(C10:G10)</f>
        <v>38.1</v>
      </c>
      <c r="I10" s="28">
        <f>H10*exchange_rate_USD25_EUR25</f>
        <v>33.764220000000002</v>
      </c>
    </row>
    <row r="11" spans="1:18" x14ac:dyDescent="0.25">
      <c r="B11">
        <v>1000</v>
      </c>
      <c r="C11" s="1">
        <v>16.28</v>
      </c>
      <c r="D11" s="1">
        <v>17.8</v>
      </c>
      <c r="E11">
        <v>2.8</v>
      </c>
      <c r="F11" s="1">
        <v>8</v>
      </c>
      <c r="G11" s="1">
        <v>0.23</v>
      </c>
      <c r="H11" s="3">
        <f>SUM(C11:G11)</f>
        <v>45.109999999999992</v>
      </c>
      <c r="I11" s="28">
        <f>H11*exchange_rate_USD25_EUR25</f>
        <v>39.97648199999999</v>
      </c>
    </row>
    <row r="12" spans="1:18" x14ac:dyDescent="0.25">
      <c r="B12">
        <v>1500</v>
      </c>
      <c r="C12" s="1">
        <v>16.28</v>
      </c>
      <c r="D12" s="1">
        <v>23.74</v>
      </c>
      <c r="E12">
        <v>2.8</v>
      </c>
      <c r="F12" s="1">
        <v>9</v>
      </c>
      <c r="G12" s="1">
        <v>0.3</v>
      </c>
      <c r="H12" s="3">
        <f>SUM(C12:G12)</f>
        <v>52.11999999999999</v>
      </c>
      <c r="I12" s="28">
        <f>H12*exchange_rate_USD25_EUR25</f>
        <v>46.188743999999993</v>
      </c>
    </row>
    <row r="13" spans="1:18" x14ac:dyDescent="0.25">
      <c r="B13">
        <v>2000</v>
      </c>
      <c r="C13" s="1">
        <v>16.28</v>
      </c>
      <c r="D13" s="1">
        <v>29.67</v>
      </c>
      <c r="E13">
        <v>2.8</v>
      </c>
      <c r="F13" s="1">
        <v>10</v>
      </c>
      <c r="G13" s="1">
        <v>0.38</v>
      </c>
      <c r="H13" s="3">
        <f>SUM(C13:G13)</f>
        <v>59.13</v>
      </c>
      <c r="I13" s="28">
        <f>H13*exchange_rate_USD25_EUR25</f>
        <v>52.401006000000002</v>
      </c>
    </row>
    <row r="15" spans="1:18" x14ac:dyDescent="0.25">
      <c r="B15" t="s">
        <v>0</v>
      </c>
      <c r="C15" t="s">
        <v>1</v>
      </c>
    </row>
    <row r="17" spans="1:9" x14ac:dyDescent="0.25">
      <c r="A17" s="26"/>
      <c r="B17" s="26"/>
      <c r="C17" s="26"/>
      <c r="D17" s="26"/>
      <c r="E17" s="26"/>
      <c r="F17" s="26"/>
      <c r="G17" s="26"/>
      <c r="H17" s="26"/>
      <c r="I17" s="26"/>
    </row>
    <row r="19" spans="1:9" x14ac:dyDescent="0.25">
      <c r="B19" t="s">
        <v>211</v>
      </c>
      <c r="C19">
        <v>1.24E-2</v>
      </c>
    </row>
    <row r="20" spans="1:9" x14ac:dyDescent="0.25">
      <c r="B20" t="s">
        <v>212</v>
      </c>
      <c r="C20">
        <v>27.552</v>
      </c>
    </row>
    <row r="22" spans="1:9" x14ac:dyDescent="0.25">
      <c r="B22" t="s">
        <v>7</v>
      </c>
      <c r="C22" t="s">
        <v>213</v>
      </c>
    </row>
    <row r="23" spans="1:9" x14ac:dyDescent="0.25">
      <c r="B23">
        <v>50</v>
      </c>
      <c r="C23">
        <f>C$19*$B23+C$20</f>
        <v>28.172000000000001</v>
      </c>
    </row>
    <row r="24" spans="1:9" x14ac:dyDescent="0.25">
      <c r="B24">
        <f>B23+25</f>
        <v>75</v>
      </c>
      <c r="C24">
        <f t="shared" ref="C24:C81" si="0">C$19*$B24+C$20</f>
        <v>28.481999999999999</v>
      </c>
    </row>
    <row r="25" spans="1:9" x14ac:dyDescent="0.25">
      <c r="B25">
        <f t="shared" ref="B25:B81" si="1">B24+25</f>
        <v>100</v>
      </c>
      <c r="C25">
        <f t="shared" si="0"/>
        <v>28.791999999999998</v>
      </c>
    </row>
    <row r="26" spans="1:9" x14ac:dyDescent="0.25">
      <c r="B26">
        <f t="shared" si="1"/>
        <v>125</v>
      </c>
      <c r="C26">
        <f t="shared" si="0"/>
        <v>29.102</v>
      </c>
    </row>
    <row r="27" spans="1:9" x14ac:dyDescent="0.25">
      <c r="B27">
        <f t="shared" si="1"/>
        <v>150</v>
      </c>
      <c r="C27">
        <f t="shared" si="0"/>
        <v>29.411999999999999</v>
      </c>
    </row>
    <row r="28" spans="1:9" x14ac:dyDescent="0.25">
      <c r="B28">
        <f t="shared" si="1"/>
        <v>175</v>
      </c>
      <c r="C28">
        <f t="shared" si="0"/>
        <v>29.722000000000001</v>
      </c>
    </row>
    <row r="29" spans="1:9" x14ac:dyDescent="0.25">
      <c r="B29">
        <f t="shared" si="1"/>
        <v>200</v>
      </c>
      <c r="C29">
        <f t="shared" si="0"/>
        <v>30.032</v>
      </c>
    </row>
    <row r="30" spans="1:9" x14ac:dyDescent="0.25">
      <c r="B30">
        <f t="shared" si="1"/>
        <v>225</v>
      </c>
      <c r="C30">
        <f t="shared" si="0"/>
        <v>30.341999999999999</v>
      </c>
    </row>
    <row r="31" spans="1:9" x14ac:dyDescent="0.25">
      <c r="B31">
        <f t="shared" si="1"/>
        <v>250</v>
      </c>
      <c r="C31">
        <f t="shared" si="0"/>
        <v>30.652000000000001</v>
      </c>
    </row>
    <row r="32" spans="1:9" x14ac:dyDescent="0.25">
      <c r="B32">
        <f t="shared" si="1"/>
        <v>275</v>
      </c>
      <c r="C32">
        <f t="shared" si="0"/>
        <v>30.962</v>
      </c>
    </row>
    <row r="33" spans="2:3" x14ac:dyDescent="0.25">
      <c r="B33">
        <f t="shared" si="1"/>
        <v>300</v>
      </c>
      <c r="C33">
        <f t="shared" si="0"/>
        <v>31.271999999999998</v>
      </c>
    </row>
    <row r="34" spans="2:3" x14ac:dyDescent="0.25">
      <c r="B34">
        <f t="shared" si="1"/>
        <v>325</v>
      </c>
      <c r="C34">
        <f t="shared" si="0"/>
        <v>31.582000000000001</v>
      </c>
    </row>
    <row r="35" spans="2:3" x14ac:dyDescent="0.25">
      <c r="B35">
        <f t="shared" si="1"/>
        <v>350</v>
      </c>
      <c r="C35">
        <f t="shared" si="0"/>
        <v>31.891999999999999</v>
      </c>
    </row>
    <row r="36" spans="2:3" x14ac:dyDescent="0.25">
      <c r="B36">
        <f t="shared" si="1"/>
        <v>375</v>
      </c>
      <c r="C36">
        <f t="shared" si="0"/>
        <v>32.201999999999998</v>
      </c>
    </row>
    <row r="37" spans="2:3" x14ac:dyDescent="0.25">
      <c r="B37">
        <f t="shared" si="1"/>
        <v>400</v>
      </c>
      <c r="C37">
        <f t="shared" si="0"/>
        <v>32.512</v>
      </c>
    </row>
    <row r="38" spans="2:3" x14ac:dyDescent="0.25">
      <c r="B38">
        <f>B37+25</f>
        <v>425</v>
      </c>
      <c r="C38">
        <f t="shared" si="0"/>
        <v>32.822000000000003</v>
      </c>
    </row>
    <row r="39" spans="2:3" x14ac:dyDescent="0.25">
      <c r="B39">
        <f t="shared" si="1"/>
        <v>450</v>
      </c>
      <c r="C39">
        <f t="shared" si="0"/>
        <v>33.131999999999998</v>
      </c>
    </row>
    <row r="40" spans="2:3" x14ac:dyDescent="0.25">
      <c r="B40">
        <f t="shared" si="1"/>
        <v>475</v>
      </c>
      <c r="C40">
        <f t="shared" si="0"/>
        <v>33.442</v>
      </c>
    </row>
    <row r="41" spans="2:3" x14ac:dyDescent="0.25">
      <c r="B41">
        <f t="shared" si="1"/>
        <v>500</v>
      </c>
      <c r="C41">
        <f t="shared" si="0"/>
        <v>33.752000000000002</v>
      </c>
    </row>
    <row r="42" spans="2:3" x14ac:dyDescent="0.25">
      <c r="B42">
        <f t="shared" si="1"/>
        <v>525</v>
      </c>
      <c r="C42">
        <f t="shared" si="0"/>
        <v>34.061999999999998</v>
      </c>
    </row>
    <row r="43" spans="2:3" x14ac:dyDescent="0.25">
      <c r="B43">
        <f t="shared" si="1"/>
        <v>550</v>
      </c>
      <c r="C43">
        <f t="shared" si="0"/>
        <v>34.372</v>
      </c>
    </row>
    <row r="44" spans="2:3" x14ac:dyDescent="0.25">
      <c r="B44">
        <f t="shared" si="1"/>
        <v>575</v>
      </c>
      <c r="C44">
        <f t="shared" si="0"/>
        <v>34.682000000000002</v>
      </c>
    </row>
    <row r="45" spans="2:3" x14ac:dyDescent="0.25">
      <c r="B45">
        <f t="shared" si="1"/>
        <v>600</v>
      </c>
      <c r="C45">
        <f t="shared" si="0"/>
        <v>34.991999999999997</v>
      </c>
    </row>
    <row r="46" spans="2:3" x14ac:dyDescent="0.25">
      <c r="B46">
        <f t="shared" si="1"/>
        <v>625</v>
      </c>
      <c r="C46">
        <f t="shared" si="0"/>
        <v>35.302</v>
      </c>
    </row>
    <row r="47" spans="2:3" x14ac:dyDescent="0.25">
      <c r="B47">
        <f t="shared" si="1"/>
        <v>650</v>
      </c>
      <c r="C47">
        <f t="shared" si="0"/>
        <v>35.612000000000002</v>
      </c>
    </row>
    <row r="48" spans="2:3" x14ac:dyDescent="0.25">
      <c r="B48">
        <f t="shared" si="1"/>
        <v>675</v>
      </c>
      <c r="C48">
        <f t="shared" si="0"/>
        <v>35.921999999999997</v>
      </c>
    </row>
    <row r="49" spans="2:3" x14ac:dyDescent="0.25">
      <c r="B49">
        <f t="shared" si="1"/>
        <v>700</v>
      </c>
      <c r="C49">
        <f t="shared" si="0"/>
        <v>36.231999999999999</v>
      </c>
    </row>
    <row r="50" spans="2:3" x14ac:dyDescent="0.25">
      <c r="B50">
        <f t="shared" si="1"/>
        <v>725</v>
      </c>
      <c r="C50">
        <f t="shared" si="0"/>
        <v>36.542000000000002</v>
      </c>
    </row>
    <row r="51" spans="2:3" x14ac:dyDescent="0.25">
      <c r="B51">
        <f t="shared" si="1"/>
        <v>750</v>
      </c>
      <c r="C51">
        <f t="shared" si="0"/>
        <v>36.851999999999997</v>
      </c>
    </row>
    <row r="52" spans="2:3" x14ac:dyDescent="0.25">
      <c r="B52">
        <f t="shared" si="1"/>
        <v>775</v>
      </c>
      <c r="C52">
        <f t="shared" si="0"/>
        <v>37.161999999999999</v>
      </c>
    </row>
    <row r="53" spans="2:3" x14ac:dyDescent="0.25">
      <c r="B53">
        <f t="shared" si="1"/>
        <v>800</v>
      </c>
      <c r="C53">
        <f t="shared" si="0"/>
        <v>37.472000000000001</v>
      </c>
    </row>
    <row r="54" spans="2:3" x14ac:dyDescent="0.25">
      <c r="B54">
        <f t="shared" si="1"/>
        <v>825</v>
      </c>
      <c r="C54">
        <f t="shared" si="0"/>
        <v>37.781999999999996</v>
      </c>
    </row>
    <row r="55" spans="2:3" x14ac:dyDescent="0.25">
      <c r="B55">
        <f t="shared" si="1"/>
        <v>850</v>
      </c>
      <c r="C55">
        <f t="shared" si="0"/>
        <v>38.091999999999999</v>
      </c>
    </row>
    <row r="56" spans="2:3" x14ac:dyDescent="0.25">
      <c r="B56">
        <f t="shared" si="1"/>
        <v>875</v>
      </c>
      <c r="C56">
        <f t="shared" si="0"/>
        <v>38.402000000000001</v>
      </c>
    </row>
    <row r="57" spans="2:3" x14ac:dyDescent="0.25">
      <c r="B57">
        <f t="shared" si="1"/>
        <v>900</v>
      </c>
      <c r="C57">
        <f t="shared" si="0"/>
        <v>38.712000000000003</v>
      </c>
    </row>
    <row r="58" spans="2:3" x14ac:dyDescent="0.25">
      <c r="B58">
        <f t="shared" si="1"/>
        <v>925</v>
      </c>
      <c r="C58">
        <f t="shared" si="0"/>
        <v>39.021999999999998</v>
      </c>
    </row>
    <row r="59" spans="2:3" x14ac:dyDescent="0.25">
      <c r="B59">
        <f t="shared" si="1"/>
        <v>950</v>
      </c>
      <c r="C59">
        <f t="shared" si="0"/>
        <v>39.332000000000001</v>
      </c>
    </row>
    <row r="60" spans="2:3" x14ac:dyDescent="0.25">
      <c r="B60">
        <f t="shared" si="1"/>
        <v>975</v>
      </c>
      <c r="C60">
        <f t="shared" si="0"/>
        <v>39.641999999999996</v>
      </c>
    </row>
    <row r="61" spans="2:3" x14ac:dyDescent="0.25">
      <c r="B61">
        <f t="shared" si="1"/>
        <v>1000</v>
      </c>
      <c r="C61">
        <f t="shared" si="0"/>
        <v>39.951999999999998</v>
      </c>
    </row>
    <row r="62" spans="2:3" x14ac:dyDescent="0.25">
      <c r="B62">
        <f t="shared" si="1"/>
        <v>1025</v>
      </c>
      <c r="C62">
        <f t="shared" si="0"/>
        <v>40.262</v>
      </c>
    </row>
    <row r="63" spans="2:3" x14ac:dyDescent="0.25">
      <c r="B63">
        <f t="shared" si="1"/>
        <v>1050</v>
      </c>
      <c r="C63">
        <f t="shared" si="0"/>
        <v>40.572000000000003</v>
      </c>
    </row>
    <row r="64" spans="2:3" x14ac:dyDescent="0.25">
      <c r="B64">
        <f t="shared" si="1"/>
        <v>1075</v>
      </c>
      <c r="C64">
        <f t="shared" si="0"/>
        <v>40.881999999999998</v>
      </c>
    </row>
    <row r="65" spans="2:3" x14ac:dyDescent="0.25">
      <c r="B65">
        <f t="shared" si="1"/>
        <v>1100</v>
      </c>
      <c r="C65">
        <f t="shared" si="0"/>
        <v>41.192</v>
      </c>
    </row>
    <row r="66" spans="2:3" x14ac:dyDescent="0.25">
      <c r="B66">
        <f t="shared" si="1"/>
        <v>1125</v>
      </c>
      <c r="C66">
        <f t="shared" si="0"/>
        <v>41.501999999999995</v>
      </c>
    </row>
    <row r="67" spans="2:3" x14ac:dyDescent="0.25">
      <c r="B67">
        <f t="shared" si="1"/>
        <v>1150</v>
      </c>
      <c r="C67">
        <f t="shared" si="0"/>
        <v>41.811999999999998</v>
      </c>
    </row>
    <row r="68" spans="2:3" x14ac:dyDescent="0.25">
      <c r="B68">
        <f t="shared" si="1"/>
        <v>1175</v>
      </c>
      <c r="C68">
        <f t="shared" si="0"/>
        <v>42.122</v>
      </c>
    </row>
    <row r="69" spans="2:3" x14ac:dyDescent="0.25">
      <c r="B69">
        <f t="shared" si="1"/>
        <v>1200</v>
      </c>
      <c r="C69">
        <f t="shared" si="0"/>
        <v>42.432000000000002</v>
      </c>
    </row>
    <row r="70" spans="2:3" x14ac:dyDescent="0.25">
      <c r="B70">
        <f t="shared" si="1"/>
        <v>1225</v>
      </c>
      <c r="C70">
        <f t="shared" si="0"/>
        <v>42.741999999999997</v>
      </c>
    </row>
    <row r="71" spans="2:3" x14ac:dyDescent="0.25">
      <c r="B71">
        <f t="shared" si="1"/>
        <v>1250</v>
      </c>
      <c r="C71">
        <f t="shared" si="0"/>
        <v>43.052</v>
      </c>
    </row>
    <row r="72" spans="2:3" x14ac:dyDescent="0.25">
      <c r="B72">
        <f t="shared" si="1"/>
        <v>1275</v>
      </c>
      <c r="C72">
        <f t="shared" si="0"/>
        <v>43.361999999999995</v>
      </c>
    </row>
    <row r="73" spans="2:3" x14ac:dyDescent="0.25">
      <c r="B73">
        <f t="shared" si="1"/>
        <v>1300</v>
      </c>
      <c r="C73">
        <f t="shared" si="0"/>
        <v>43.671999999999997</v>
      </c>
    </row>
    <row r="74" spans="2:3" x14ac:dyDescent="0.25">
      <c r="B74">
        <f t="shared" si="1"/>
        <v>1325</v>
      </c>
      <c r="C74">
        <f t="shared" si="0"/>
        <v>43.981999999999999</v>
      </c>
    </row>
    <row r="75" spans="2:3" x14ac:dyDescent="0.25">
      <c r="B75">
        <f t="shared" si="1"/>
        <v>1350</v>
      </c>
      <c r="C75">
        <f t="shared" si="0"/>
        <v>44.292000000000002</v>
      </c>
    </row>
    <row r="76" spans="2:3" x14ac:dyDescent="0.25">
      <c r="B76">
        <f t="shared" si="1"/>
        <v>1375</v>
      </c>
      <c r="C76">
        <f t="shared" si="0"/>
        <v>44.602000000000004</v>
      </c>
    </row>
    <row r="77" spans="2:3" x14ac:dyDescent="0.25">
      <c r="B77">
        <f>B76+25</f>
        <v>1400</v>
      </c>
      <c r="C77">
        <f t="shared" si="0"/>
        <v>44.911999999999999</v>
      </c>
    </row>
    <row r="78" spans="2:3" x14ac:dyDescent="0.25">
      <c r="B78">
        <f t="shared" si="1"/>
        <v>1425</v>
      </c>
      <c r="C78">
        <f t="shared" si="0"/>
        <v>45.221999999999994</v>
      </c>
    </row>
    <row r="79" spans="2:3" x14ac:dyDescent="0.25">
      <c r="B79">
        <f t="shared" si="1"/>
        <v>1450</v>
      </c>
      <c r="C79">
        <f t="shared" si="0"/>
        <v>45.531999999999996</v>
      </c>
    </row>
    <row r="80" spans="2:3" x14ac:dyDescent="0.25">
      <c r="B80">
        <f t="shared" si="1"/>
        <v>1475</v>
      </c>
      <c r="C80">
        <f t="shared" si="0"/>
        <v>45.841999999999999</v>
      </c>
    </row>
    <row r="81" spans="2:3" x14ac:dyDescent="0.25">
      <c r="B81">
        <f t="shared" si="1"/>
        <v>1500</v>
      </c>
      <c r="C81">
        <f t="shared" si="0"/>
        <v>46.152000000000001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9AF4E-029E-48C3-B6A9-013E4CFAE275}">
  <sheetPr>
    <tabColor theme="6" tint="0.79998168889431442"/>
  </sheetPr>
  <dimension ref="A1:L3"/>
  <sheetViews>
    <sheetView zoomScale="85" zoomScaleNormal="85" workbookViewId="0">
      <selection activeCell="F33" sqref="F33"/>
    </sheetView>
  </sheetViews>
  <sheetFormatPr defaultRowHeight="15" x14ac:dyDescent="0.25"/>
  <cols>
    <col min="1" max="1" width="27.5703125" bestFit="1" customWidth="1"/>
  </cols>
  <sheetData>
    <row r="1" spans="1:12" x14ac:dyDescent="0.25">
      <c r="A1" t="s">
        <v>223</v>
      </c>
      <c r="B1" t="s">
        <v>224</v>
      </c>
    </row>
    <row r="2" spans="1:12" x14ac:dyDescent="0.25">
      <c r="A2" t="s">
        <v>220</v>
      </c>
      <c r="B2">
        <f>(15+2)/2</f>
        <v>8.5</v>
      </c>
      <c r="C2" t="s">
        <v>222</v>
      </c>
    </row>
    <row r="3" spans="1:12" x14ac:dyDescent="0.25">
      <c r="A3" t="s">
        <v>221</v>
      </c>
      <c r="B3">
        <f>(5+31)/2</f>
        <v>18</v>
      </c>
      <c r="C3" t="s">
        <v>222</v>
      </c>
      <c r="L3" s="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2F3C5-171F-4C23-A019-D19A4B11E04B}">
  <sheetPr>
    <tabColor theme="6" tint="0.79998168889431442"/>
  </sheetPr>
  <dimension ref="A1:E67"/>
  <sheetViews>
    <sheetView zoomScale="70" zoomScaleNormal="70" workbookViewId="0">
      <selection activeCell="I52" sqref="I52"/>
    </sheetView>
  </sheetViews>
  <sheetFormatPr defaultRowHeight="15" x14ac:dyDescent="0.25"/>
  <sheetData>
    <row r="1" spans="1:5" x14ac:dyDescent="0.25">
      <c r="B1" s="3" t="s">
        <v>10</v>
      </c>
      <c r="E1" t="s">
        <v>6</v>
      </c>
    </row>
    <row r="2" spans="1:5" x14ac:dyDescent="0.25">
      <c r="B2" t="s">
        <v>5</v>
      </c>
      <c r="C2" s="5">
        <v>0.05</v>
      </c>
      <c r="D2" t="s">
        <v>8</v>
      </c>
    </row>
    <row r="5" spans="1:5" x14ac:dyDescent="0.25">
      <c r="B5" t="s">
        <v>211</v>
      </c>
      <c r="C5" s="5">
        <f>C2*Info!E34</f>
        <v>4.4310000000000002E-2</v>
      </c>
      <c r="D5" t="s">
        <v>9</v>
      </c>
    </row>
    <row r="6" spans="1:5" x14ac:dyDescent="0.25">
      <c r="B6" t="s">
        <v>212</v>
      </c>
      <c r="C6">
        <v>0</v>
      </c>
      <c r="D6" t="s">
        <v>9</v>
      </c>
    </row>
    <row r="8" spans="1:5" x14ac:dyDescent="0.25">
      <c r="A8" t="s">
        <v>7</v>
      </c>
    </row>
    <row r="9" spans="1:5" x14ac:dyDescent="0.25">
      <c r="A9">
        <v>50</v>
      </c>
      <c r="B9" s="19">
        <f>$A9*C$5+C$6</f>
        <v>2.2155</v>
      </c>
    </row>
    <row r="10" spans="1:5" x14ac:dyDescent="0.25">
      <c r="A10">
        <f>A9+25</f>
        <v>75</v>
      </c>
      <c r="B10" s="19">
        <f t="shared" ref="B10:B67" si="0">$A10*C$5+C$6</f>
        <v>3.3232500000000003</v>
      </c>
    </row>
    <row r="11" spans="1:5" x14ac:dyDescent="0.25">
      <c r="A11">
        <f t="shared" ref="A11:A67" si="1">A10+25</f>
        <v>100</v>
      </c>
      <c r="B11" s="19">
        <f t="shared" si="0"/>
        <v>4.431</v>
      </c>
    </row>
    <row r="12" spans="1:5" x14ac:dyDescent="0.25">
      <c r="A12">
        <f t="shared" si="1"/>
        <v>125</v>
      </c>
      <c r="B12" s="19">
        <f t="shared" si="0"/>
        <v>5.5387500000000003</v>
      </c>
    </row>
    <row r="13" spans="1:5" x14ac:dyDescent="0.25">
      <c r="A13">
        <f t="shared" si="1"/>
        <v>150</v>
      </c>
      <c r="B13" s="19">
        <f t="shared" si="0"/>
        <v>6.6465000000000005</v>
      </c>
    </row>
    <row r="14" spans="1:5" x14ac:dyDescent="0.25">
      <c r="A14">
        <f t="shared" si="1"/>
        <v>175</v>
      </c>
      <c r="B14" s="19">
        <f t="shared" si="0"/>
        <v>7.7542500000000008</v>
      </c>
    </row>
    <row r="15" spans="1:5" x14ac:dyDescent="0.25">
      <c r="A15">
        <f t="shared" si="1"/>
        <v>200</v>
      </c>
      <c r="B15" s="19">
        <f t="shared" si="0"/>
        <v>8.8620000000000001</v>
      </c>
    </row>
    <row r="16" spans="1:5" x14ac:dyDescent="0.25">
      <c r="A16">
        <f t="shared" si="1"/>
        <v>225</v>
      </c>
      <c r="B16" s="19">
        <f t="shared" si="0"/>
        <v>9.9697500000000012</v>
      </c>
    </row>
    <row r="17" spans="1:2" x14ac:dyDescent="0.25">
      <c r="A17">
        <f t="shared" si="1"/>
        <v>250</v>
      </c>
      <c r="B17" s="19">
        <f t="shared" si="0"/>
        <v>11.077500000000001</v>
      </c>
    </row>
    <row r="18" spans="1:2" x14ac:dyDescent="0.25">
      <c r="A18">
        <f t="shared" si="1"/>
        <v>275</v>
      </c>
      <c r="B18" s="19">
        <f t="shared" si="0"/>
        <v>12.18525</v>
      </c>
    </row>
    <row r="19" spans="1:2" x14ac:dyDescent="0.25">
      <c r="A19">
        <f t="shared" si="1"/>
        <v>300</v>
      </c>
      <c r="B19" s="19">
        <f t="shared" si="0"/>
        <v>13.293000000000001</v>
      </c>
    </row>
    <row r="20" spans="1:2" x14ac:dyDescent="0.25">
      <c r="A20">
        <f t="shared" si="1"/>
        <v>325</v>
      </c>
      <c r="B20" s="19">
        <f t="shared" si="0"/>
        <v>14.40075</v>
      </c>
    </row>
    <row r="21" spans="1:2" x14ac:dyDescent="0.25">
      <c r="A21">
        <f t="shared" si="1"/>
        <v>350</v>
      </c>
      <c r="B21" s="19">
        <f t="shared" si="0"/>
        <v>15.508500000000002</v>
      </c>
    </row>
    <row r="22" spans="1:2" x14ac:dyDescent="0.25">
      <c r="A22">
        <f t="shared" si="1"/>
        <v>375</v>
      </c>
      <c r="B22" s="19">
        <f t="shared" si="0"/>
        <v>16.616250000000001</v>
      </c>
    </row>
    <row r="23" spans="1:2" x14ac:dyDescent="0.25">
      <c r="A23">
        <f t="shared" si="1"/>
        <v>400</v>
      </c>
      <c r="B23" s="19">
        <f t="shared" si="0"/>
        <v>17.724</v>
      </c>
    </row>
    <row r="24" spans="1:2" x14ac:dyDescent="0.25">
      <c r="A24">
        <f>A23+25</f>
        <v>425</v>
      </c>
      <c r="B24" s="19">
        <f t="shared" si="0"/>
        <v>18.83175</v>
      </c>
    </row>
    <row r="25" spans="1:2" x14ac:dyDescent="0.25">
      <c r="A25">
        <f t="shared" si="1"/>
        <v>450</v>
      </c>
      <c r="B25" s="19">
        <f t="shared" si="0"/>
        <v>19.939500000000002</v>
      </c>
    </row>
    <row r="26" spans="1:2" x14ac:dyDescent="0.25">
      <c r="A26">
        <f t="shared" si="1"/>
        <v>475</v>
      </c>
      <c r="B26" s="19">
        <f t="shared" si="0"/>
        <v>21.047250000000002</v>
      </c>
    </row>
    <row r="27" spans="1:2" x14ac:dyDescent="0.25">
      <c r="A27">
        <f t="shared" si="1"/>
        <v>500</v>
      </c>
      <c r="B27" s="19">
        <f t="shared" si="0"/>
        <v>22.155000000000001</v>
      </c>
    </row>
    <row r="28" spans="1:2" x14ac:dyDescent="0.25">
      <c r="A28">
        <f t="shared" si="1"/>
        <v>525</v>
      </c>
      <c r="B28" s="19">
        <f t="shared" si="0"/>
        <v>23.26275</v>
      </c>
    </row>
    <row r="29" spans="1:2" x14ac:dyDescent="0.25">
      <c r="A29">
        <f t="shared" si="1"/>
        <v>550</v>
      </c>
      <c r="B29" s="19">
        <f t="shared" si="0"/>
        <v>24.3705</v>
      </c>
    </row>
    <row r="30" spans="1:2" x14ac:dyDescent="0.25">
      <c r="A30">
        <f t="shared" si="1"/>
        <v>575</v>
      </c>
      <c r="B30" s="19">
        <f t="shared" si="0"/>
        <v>25.478250000000003</v>
      </c>
    </row>
    <row r="31" spans="1:2" x14ac:dyDescent="0.25">
      <c r="A31">
        <f t="shared" si="1"/>
        <v>600</v>
      </c>
      <c r="B31" s="19">
        <f t="shared" si="0"/>
        <v>26.586000000000002</v>
      </c>
    </row>
    <row r="32" spans="1:2" x14ac:dyDescent="0.25">
      <c r="A32">
        <f t="shared" si="1"/>
        <v>625</v>
      </c>
      <c r="B32" s="19">
        <f t="shared" si="0"/>
        <v>27.693750000000001</v>
      </c>
    </row>
    <row r="33" spans="1:2" x14ac:dyDescent="0.25">
      <c r="A33">
        <f t="shared" si="1"/>
        <v>650</v>
      </c>
      <c r="B33" s="19">
        <f t="shared" si="0"/>
        <v>28.801500000000001</v>
      </c>
    </row>
    <row r="34" spans="1:2" x14ac:dyDescent="0.25">
      <c r="A34">
        <f t="shared" si="1"/>
        <v>675</v>
      </c>
      <c r="B34" s="19">
        <f t="shared" si="0"/>
        <v>29.90925</v>
      </c>
    </row>
    <row r="35" spans="1:2" x14ac:dyDescent="0.25">
      <c r="A35">
        <f t="shared" si="1"/>
        <v>700</v>
      </c>
      <c r="B35" s="19">
        <f t="shared" si="0"/>
        <v>31.017000000000003</v>
      </c>
    </row>
    <row r="36" spans="1:2" x14ac:dyDescent="0.25">
      <c r="A36">
        <f t="shared" si="1"/>
        <v>725</v>
      </c>
      <c r="B36" s="19">
        <f t="shared" si="0"/>
        <v>32.124749999999999</v>
      </c>
    </row>
    <row r="37" spans="1:2" x14ac:dyDescent="0.25">
      <c r="A37">
        <f t="shared" si="1"/>
        <v>750</v>
      </c>
      <c r="B37" s="19">
        <f t="shared" si="0"/>
        <v>33.232500000000002</v>
      </c>
    </row>
    <row r="38" spans="1:2" x14ac:dyDescent="0.25">
      <c r="A38">
        <f t="shared" si="1"/>
        <v>775</v>
      </c>
      <c r="B38" s="19">
        <f t="shared" si="0"/>
        <v>34.340250000000005</v>
      </c>
    </row>
    <row r="39" spans="1:2" x14ac:dyDescent="0.25">
      <c r="A39">
        <f t="shared" si="1"/>
        <v>800</v>
      </c>
      <c r="B39" s="19">
        <f t="shared" si="0"/>
        <v>35.448</v>
      </c>
    </row>
    <row r="40" spans="1:2" x14ac:dyDescent="0.25">
      <c r="A40">
        <f t="shared" si="1"/>
        <v>825</v>
      </c>
      <c r="B40" s="19">
        <f t="shared" si="0"/>
        <v>36.555750000000003</v>
      </c>
    </row>
    <row r="41" spans="1:2" x14ac:dyDescent="0.25">
      <c r="A41">
        <f t="shared" si="1"/>
        <v>850</v>
      </c>
      <c r="B41" s="19">
        <f t="shared" si="0"/>
        <v>37.663499999999999</v>
      </c>
    </row>
    <row r="42" spans="1:2" x14ac:dyDescent="0.25">
      <c r="A42">
        <f t="shared" si="1"/>
        <v>875</v>
      </c>
      <c r="B42" s="19">
        <f t="shared" si="0"/>
        <v>38.771250000000002</v>
      </c>
    </row>
    <row r="43" spans="1:2" x14ac:dyDescent="0.25">
      <c r="A43">
        <f t="shared" si="1"/>
        <v>900</v>
      </c>
      <c r="B43" s="19">
        <f t="shared" si="0"/>
        <v>39.879000000000005</v>
      </c>
    </row>
    <row r="44" spans="1:2" x14ac:dyDescent="0.25">
      <c r="A44">
        <f t="shared" si="1"/>
        <v>925</v>
      </c>
      <c r="B44" s="19">
        <f t="shared" si="0"/>
        <v>40.986750000000001</v>
      </c>
    </row>
    <row r="45" spans="1:2" x14ac:dyDescent="0.25">
      <c r="A45">
        <f t="shared" si="1"/>
        <v>950</v>
      </c>
      <c r="B45" s="19">
        <f t="shared" si="0"/>
        <v>42.094500000000004</v>
      </c>
    </row>
    <row r="46" spans="1:2" x14ac:dyDescent="0.25">
      <c r="A46">
        <f t="shared" si="1"/>
        <v>975</v>
      </c>
      <c r="B46" s="19">
        <f t="shared" si="0"/>
        <v>43.202249999999999</v>
      </c>
    </row>
    <row r="47" spans="1:2" x14ac:dyDescent="0.25">
      <c r="A47">
        <f t="shared" si="1"/>
        <v>1000</v>
      </c>
      <c r="B47" s="19">
        <f t="shared" si="0"/>
        <v>44.31</v>
      </c>
    </row>
    <row r="48" spans="1:2" x14ac:dyDescent="0.25">
      <c r="A48">
        <f t="shared" si="1"/>
        <v>1025</v>
      </c>
      <c r="B48" s="19">
        <f t="shared" si="0"/>
        <v>45.417750000000005</v>
      </c>
    </row>
    <row r="49" spans="1:2" x14ac:dyDescent="0.25">
      <c r="A49">
        <f t="shared" si="1"/>
        <v>1050</v>
      </c>
      <c r="B49" s="19">
        <f t="shared" si="0"/>
        <v>46.525500000000001</v>
      </c>
    </row>
    <row r="50" spans="1:2" x14ac:dyDescent="0.25">
      <c r="A50">
        <f t="shared" si="1"/>
        <v>1075</v>
      </c>
      <c r="B50" s="19">
        <f t="shared" si="0"/>
        <v>47.633250000000004</v>
      </c>
    </row>
    <row r="51" spans="1:2" x14ac:dyDescent="0.25">
      <c r="A51">
        <f t="shared" si="1"/>
        <v>1100</v>
      </c>
      <c r="B51" s="19">
        <f t="shared" si="0"/>
        <v>48.741</v>
      </c>
    </row>
    <row r="52" spans="1:2" x14ac:dyDescent="0.25">
      <c r="A52">
        <f t="shared" si="1"/>
        <v>1125</v>
      </c>
      <c r="B52" s="19">
        <f t="shared" si="0"/>
        <v>49.848750000000003</v>
      </c>
    </row>
    <row r="53" spans="1:2" x14ac:dyDescent="0.25">
      <c r="A53">
        <f t="shared" si="1"/>
        <v>1150</v>
      </c>
      <c r="B53" s="19">
        <f t="shared" si="0"/>
        <v>50.956500000000005</v>
      </c>
    </row>
    <row r="54" spans="1:2" x14ac:dyDescent="0.25">
      <c r="A54">
        <f t="shared" si="1"/>
        <v>1175</v>
      </c>
      <c r="B54" s="19">
        <f t="shared" si="0"/>
        <v>52.064250000000001</v>
      </c>
    </row>
    <row r="55" spans="1:2" x14ac:dyDescent="0.25">
      <c r="A55">
        <f t="shared" si="1"/>
        <v>1200</v>
      </c>
      <c r="B55" s="19">
        <f t="shared" si="0"/>
        <v>53.172000000000004</v>
      </c>
    </row>
    <row r="56" spans="1:2" x14ac:dyDescent="0.25">
      <c r="A56">
        <f t="shared" si="1"/>
        <v>1225</v>
      </c>
      <c r="B56" s="19">
        <f t="shared" si="0"/>
        <v>54.27975</v>
      </c>
    </row>
    <row r="57" spans="1:2" x14ac:dyDescent="0.25">
      <c r="A57">
        <f t="shared" si="1"/>
        <v>1250</v>
      </c>
      <c r="B57" s="19">
        <f t="shared" si="0"/>
        <v>55.387500000000003</v>
      </c>
    </row>
    <row r="58" spans="1:2" x14ac:dyDescent="0.25">
      <c r="A58">
        <f t="shared" si="1"/>
        <v>1275</v>
      </c>
      <c r="B58" s="19">
        <f t="shared" si="0"/>
        <v>56.495250000000006</v>
      </c>
    </row>
    <row r="59" spans="1:2" x14ac:dyDescent="0.25">
      <c r="A59">
        <f t="shared" si="1"/>
        <v>1300</v>
      </c>
      <c r="B59" s="19">
        <f t="shared" si="0"/>
        <v>57.603000000000002</v>
      </c>
    </row>
    <row r="60" spans="1:2" x14ac:dyDescent="0.25">
      <c r="A60">
        <f t="shared" si="1"/>
        <v>1325</v>
      </c>
      <c r="B60" s="19">
        <f t="shared" si="0"/>
        <v>58.710750000000004</v>
      </c>
    </row>
    <row r="61" spans="1:2" x14ac:dyDescent="0.25">
      <c r="A61">
        <f t="shared" si="1"/>
        <v>1350</v>
      </c>
      <c r="B61" s="19">
        <f t="shared" si="0"/>
        <v>59.8185</v>
      </c>
    </row>
    <row r="62" spans="1:2" x14ac:dyDescent="0.25">
      <c r="A62">
        <f t="shared" si="1"/>
        <v>1375</v>
      </c>
      <c r="B62" s="19">
        <f t="shared" si="0"/>
        <v>60.926250000000003</v>
      </c>
    </row>
    <row r="63" spans="1:2" x14ac:dyDescent="0.25">
      <c r="A63">
        <f>A62+25</f>
        <v>1400</v>
      </c>
      <c r="B63" s="19">
        <f t="shared" si="0"/>
        <v>62.034000000000006</v>
      </c>
    </row>
    <row r="64" spans="1:2" x14ac:dyDescent="0.25">
      <c r="A64">
        <f t="shared" si="1"/>
        <v>1425</v>
      </c>
      <c r="B64" s="19">
        <f t="shared" si="0"/>
        <v>63.141750000000002</v>
      </c>
    </row>
    <row r="65" spans="1:2" x14ac:dyDescent="0.25">
      <c r="A65">
        <f t="shared" si="1"/>
        <v>1450</v>
      </c>
      <c r="B65" s="19">
        <f t="shared" si="0"/>
        <v>64.249499999999998</v>
      </c>
    </row>
    <row r="66" spans="1:2" x14ac:dyDescent="0.25">
      <c r="A66">
        <f t="shared" si="1"/>
        <v>1475</v>
      </c>
      <c r="B66" s="19">
        <f t="shared" si="0"/>
        <v>65.357250000000008</v>
      </c>
    </row>
    <row r="67" spans="1:2" x14ac:dyDescent="0.25">
      <c r="A67">
        <f t="shared" si="1"/>
        <v>1500</v>
      </c>
      <c r="B67" s="19">
        <f t="shared" si="0"/>
        <v>66.465000000000003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70540-CD97-4E34-B431-E59C4EBEE7A5}">
  <sheetPr>
    <tabColor theme="7" tint="0.79998168889431442"/>
  </sheetPr>
  <dimension ref="A1:F30"/>
  <sheetViews>
    <sheetView zoomScale="70" zoomScaleNormal="70" workbookViewId="0">
      <selection activeCell="F30" sqref="F30"/>
    </sheetView>
  </sheetViews>
  <sheetFormatPr defaultRowHeight="15" x14ac:dyDescent="0.25"/>
  <cols>
    <col min="2" max="2" width="23.5703125" bestFit="1" customWidth="1"/>
    <col min="3" max="3" width="54.5703125" bestFit="1" customWidth="1"/>
    <col min="4" max="5" width="11.7109375" bestFit="1" customWidth="1"/>
    <col min="6" max="6" width="133.7109375" bestFit="1" customWidth="1"/>
  </cols>
  <sheetData>
    <row r="1" spans="1:6" x14ac:dyDescent="0.25">
      <c r="B1" s="3" t="s">
        <v>159</v>
      </c>
      <c r="C1" s="3" t="s">
        <v>108</v>
      </c>
      <c r="D1" s="3" t="s">
        <v>109</v>
      </c>
      <c r="E1" s="3" t="s">
        <v>110</v>
      </c>
    </row>
    <row r="2" spans="1:6" x14ac:dyDescent="0.25">
      <c r="A2" s="26">
        <v>1</v>
      </c>
      <c r="B2" t="s">
        <v>111</v>
      </c>
      <c r="C2" t="s">
        <v>112</v>
      </c>
      <c r="D2">
        <v>2.1800000000000002</v>
      </c>
      <c r="E2">
        <v>41.345999999999997</v>
      </c>
      <c r="F2" s="6" t="s">
        <v>113</v>
      </c>
    </row>
    <row r="3" spans="1:6" x14ac:dyDescent="0.25">
      <c r="A3" s="26">
        <v>2</v>
      </c>
      <c r="B3" t="s">
        <v>114</v>
      </c>
      <c r="C3" t="s">
        <v>115</v>
      </c>
      <c r="D3">
        <v>12.260999999999999</v>
      </c>
      <c r="E3">
        <v>44.468000000000004</v>
      </c>
      <c r="F3" s="6" t="s">
        <v>116</v>
      </c>
    </row>
    <row r="4" spans="1:6" x14ac:dyDescent="0.25">
      <c r="A4" s="26">
        <v>3</v>
      </c>
      <c r="B4" t="s">
        <v>117</v>
      </c>
      <c r="C4" t="s">
        <v>118</v>
      </c>
      <c r="D4">
        <v>24.577999999999999</v>
      </c>
      <c r="E4">
        <v>40.761000000000003</v>
      </c>
      <c r="F4" s="6" t="s">
        <v>119</v>
      </c>
    </row>
    <row r="5" spans="1:6" x14ac:dyDescent="0.25">
      <c r="A5">
        <v>4</v>
      </c>
      <c r="B5" t="s">
        <v>120</v>
      </c>
      <c r="C5" t="s">
        <v>121</v>
      </c>
      <c r="D5">
        <v>21.13</v>
      </c>
      <c r="E5">
        <v>55.69</v>
      </c>
      <c r="F5" s="6" t="s">
        <v>122</v>
      </c>
    </row>
    <row r="6" spans="1:6" x14ac:dyDescent="0.25">
      <c r="A6" s="26">
        <v>5</v>
      </c>
      <c r="B6" t="s">
        <v>123</v>
      </c>
      <c r="C6" t="s">
        <v>124</v>
      </c>
      <c r="D6">
        <v>4.05</v>
      </c>
      <c r="E6">
        <v>51.95</v>
      </c>
      <c r="F6" s="6" t="s">
        <v>125</v>
      </c>
    </row>
    <row r="7" spans="1:6" x14ac:dyDescent="0.25">
      <c r="A7">
        <v>6</v>
      </c>
      <c r="B7" t="s">
        <v>126</v>
      </c>
      <c r="C7" t="s">
        <v>127</v>
      </c>
      <c r="D7">
        <v>6.8330000000000002</v>
      </c>
      <c r="E7">
        <v>53.45</v>
      </c>
      <c r="F7" s="6" t="s">
        <v>128</v>
      </c>
    </row>
    <row r="8" spans="1:6" x14ac:dyDescent="0.25">
      <c r="A8">
        <v>7</v>
      </c>
      <c r="B8" t="s">
        <v>129</v>
      </c>
      <c r="C8" t="s">
        <v>130</v>
      </c>
      <c r="D8">
        <v>4.8079999999999998</v>
      </c>
      <c r="E8" s="24">
        <v>52.411999999999999</v>
      </c>
      <c r="F8" s="6" t="s">
        <v>131</v>
      </c>
    </row>
    <row r="9" spans="1:6" x14ac:dyDescent="0.25">
      <c r="A9" s="26">
        <v>8</v>
      </c>
      <c r="B9" t="s">
        <v>132</v>
      </c>
      <c r="C9" t="s">
        <v>133</v>
      </c>
      <c r="D9">
        <v>-1.242</v>
      </c>
      <c r="E9">
        <v>54.588999999999999</v>
      </c>
      <c r="F9" s="6" t="s">
        <v>134</v>
      </c>
    </row>
    <row r="10" spans="1:6" x14ac:dyDescent="0.25">
      <c r="A10" s="26">
        <v>9</v>
      </c>
      <c r="B10" t="s">
        <v>135</v>
      </c>
      <c r="C10" t="s">
        <v>136</v>
      </c>
      <c r="D10">
        <v>-2.996</v>
      </c>
      <c r="E10">
        <v>53.405999999999999</v>
      </c>
      <c r="F10" s="6" t="s">
        <v>137</v>
      </c>
    </row>
    <row r="11" spans="1:6" x14ac:dyDescent="0.25">
      <c r="A11" s="26">
        <v>10</v>
      </c>
      <c r="B11" t="s">
        <v>138</v>
      </c>
      <c r="C11" t="s">
        <v>139</v>
      </c>
      <c r="D11">
        <v>-6.1890000000000001</v>
      </c>
      <c r="E11">
        <v>53.35</v>
      </c>
      <c r="F11" s="6" t="s">
        <v>140</v>
      </c>
    </row>
    <row r="12" spans="1:6" x14ac:dyDescent="0.25">
      <c r="A12" s="26">
        <v>11</v>
      </c>
      <c r="B12" t="s">
        <v>141</v>
      </c>
      <c r="C12" t="s">
        <v>142</v>
      </c>
      <c r="D12">
        <v>5.3090000000000002</v>
      </c>
      <c r="E12">
        <v>60.392000000000003</v>
      </c>
      <c r="F12" s="6" t="s">
        <v>143</v>
      </c>
    </row>
    <row r="13" spans="1:6" x14ac:dyDescent="0.25">
      <c r="A13" s="26">
        <v>12</v>
      </c>
      <c r="B13" t="s">
        <v>144</v>
      </c>
      <c r="C13" t="s">
        <v>145</v>
      </c>
      <c r="D13">
        <v>23.683</v>
      </c>
      <c r="E13">
        <v>70.662999999999997</v>
      </c>
      <c r="F13" s="6" t="s">
        <v>146</v>
      </c>
    </row>
    <row r="14" spans="1:6" x14ac:dyDescent="0.25">
      <c r="A14" s="26">
        <v>13</v>
      </c>
      <c r="B14" t="s">
        <v>147</v>
      </c>
      <c r="C14" t="s">
        <v>148</v>
      </c>
      <c r="D14">
        <v>9.9689999999999994</v>
      </c>
      <c r="E14">
        <v>53.546999999999997</v>
      </c>
      <c r="F14" s="6" t="s">
        <v>149</v>
      </c>
    </row>
    <row r="15" spans="1:6" x14ac:dyDescent="0.25">
      <c r="A15">
        <v>14</v>
      </c>
      <c r="B15" t="s">
        <v>150</v>
      </c>
      <c r="C15" t="s">
        <v>151</v>
      </c>
      <c r="D15">
        <v>4.3120000000000003</v>
      </c>
      <c r="E15">
        <v>51.302999999999997</v>
      </c>
      <c r="F15" s="6" t="s">
        <v>152</v>
      </c>
    </row>
    <row r="16" spans="1:6" x14ac:dyDescent="0.25">
      <c r="A16">
        <v>15</v>
      </c>
      <c r="B16" t="s">
        <v>153</v>
      </c>
      <c r="C16" t="s">
        <v>154</v>
      </c>
      <c r="D16">
        <v>3.2050000000000001</v>
      </c>
      <c r="E16">
        <v>51.33</v>
      </c>
      <c r="F16" s="6" t="s">
        <v>155</v>
      </c>
    </row>
    <row r="17" spans="1:6" x14ac:dyDescent="0.25">
      <c r="A17">
        <v>16</v>
      </c>
      <c r="B17" t="s">
        <v>156</v>
      </c>
      <c r="C17" t="s">
        <v>157</v>
      </c>
      <c r="D17">
        <v>3.766</v>
      </c>
      <c r="E17">
        <v>51.12</v>
      </c>
      <c r="F17" s="6" t="s">
        <v>158</v>
      </c>
    </row>
    <row r="18" spans="1:6" x14ac:dyDescent="0.25">
      <c r="A18" s="26">
        <v>17</v>
      </c>
      <c r="B18" t="s">
        <v>189</v>
      </c>
      <c r="C18" t="s">
        <v>188</v>
      </c>
      <c r="D18">
        <v>8.4339999999999993</v>
      </c>
      <c r="E18">
        <v>55.463999999999999</v>
      </c>
      <c r="F18" t="s">
        <v>190</v>
      </c>
    </row>
    <row r="21" spans="1:6" x14ac:dyDescent="0.25">
      <c r="C21" s="29"/>
    </row>
    <row r="22" spans="1:6" ht="17.25" x14ac:dyDescent="0.3">
      <c r="C22" s="18"/>
    </row>
    <row r="29" spans="1:6" ht="17.25" x14ac:dyDescent="0.25">
      <c r="F29" s="25"/>
    </row>
    <row r="30" spans="1:6" ht="17.25" x14ac:dyDescent="0.25">
      <c r="F30" s="25"/>
    </row>
  </sheetData>
  <hyperlinks>
    <hyperlink ref="F3" r:id="rId1" display="https://ravennaccs.com/en-IT/project/ravenna-hub" xr:uid="{CC1E87A3-7BF2-4101-8580-102581006AC6}"/>
    <hyperlink ref="F2" r:id="rId2" xr:uid="{1DE10682-BAC5-4B4F-AC8D-9CBAA7B71B76}"/>
    <hyperlink ref="F4" r:id="rId3" display="https://www.energean.com/operations/greece/prinos-co2/" xr:uid="{FD5E0376-5686-4111-BF5F-1120403B8892}"/>
    <hyperlink ref="F5" r:id="rId4" display="https://ccs-baltic.eu/2026/09/04/klaipedas-co%E2%82%82-terminal-recognised-as-part-of-the-energy-system/" xr:uid="{B8FF82D8-D3AB-4CF2-A474-AD4C60E5A58A}"/>
    <hyperlink ref="F9" r:id="rId5" display="https://eastcoastcluster.co.uk/" xr:uid="{FBB9BE50-308C-4A0D-8F99-C8A314F1735D}"/>
    <hyperlink ref="F11" r:id="rId6" display="https://ukccsrc.ac.uk/wp-content/uploads/2023/05/MDE1234-BEC-04-DX-RP-Z-RP0005-Liquid-CO2-Storage-Study-Dublin.pdf" xr:uid="{1BB7D7D0-AF49-4BBB-AE14-B8BED082DE16}"/>
    <hyperlink ref="F10" r:id="rId7" display="https://hynethub.co.uk/" xr:uid="{65A7823D-E3FB-45DF-BBDF-D51683A079DC}"/>
    <hyperlink ref="F6" r:id="rId8" display="https://www.portofrotterdam.com/nl/haven-van-de-toekomst/energietransitie/lopende-projecten/opslag-en-gebruik-van-co2" xr:uid="{1C78350A-843C-47B9-A2C0-19FE2DF40B1E}"/>
    <hyperlink ref="F13" r:id="rId9" display="https://www.equinor.com/energy/snohvit" xr:uid="{2A997AC1-5494-4449-83E5-08E03352BFB7}"/>
    <hyperlink ref="F12" r:id="rId10" display="https://www.equinor.com/energy/northern-lights" xr:uid="{0814F8A8-2B34-44D1-94F5-4393A460928C}"/>
    <hyperlink ref="F14" r:id="rId11" display="https://www.hafen-hamburg.de/en/port-of-hamburg-magazine/all-purpose-port/logistik-hub-fuer-co2/" xr:uid="{9D57B573-989E-44D0-B4A0-CCE7732AC43D}"/>
    <hyperlink ref="F7" r:id="rId12" display="https://carbonstorage.io/facilities/h2m-eemshaven" xr:uid="{93810440-017B-477C-89F4-46B6228CFB87}"/>
    <hyperlink ref="F8" r:id="rId13" display="https://www.seaseas.nl/amsterdam-project" xr:uid="{9292835F-6550-41F6-8E9F-38CF7A6BEDF1}"/>
    <hyperlink ref="F15" r:id="rId14" display="https://www.fluxys.com/en/projects/antwerpatc-co2-export-hub" xr:uid="{AECAE430-3C37-4134-B8C6-9B72B71715D5}"/>
    <hyperlink ref="F17" r:id="rId15" display="https://www.entsog.eu/ghent-carbon-hub" xr:uid="{EC219718-BB1A-4837-9031-822FC18342D4}"/>
    <hyperlink ref="F16" r:id="rId16" display="https://www.fluxys.com/nl/projects/co2-hub-in-zeebrugge" xr:uid="{6FAFAE09-DF6F-4A03-9AB0-C75934C13C94}"/>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B3BC1-0ABA-4E5B-A279-EEB54EED7C78}">
  <sheetPr>
    <tabColor theme="7" tint="0.79998168889431442"/>
  </sheetPr>
  <dimension ref="A1:AF79"/>
  <sheetViews>
    <sheetView topLeftCell="A9" workbookViewId="0">
      <selection activeCell="D34" sqref="D34"/>
    </sheetView>
  </sheetViews>
  <sheetFormatPr defaultRowHeight="15" x14ac:dyDescent="0.25"/>
  <cols>
    <col min="1" max="1" width="24.5703125" customWidth="1"/>
    <col min="2" max="2" width="27.28515625" bestFit="1" customWidth="1"/>
    <col min="3" max="7" width="24.5703125" customWidth="1"/>
    <col min="8" max="8" width="24.5703125" style="8" customWidth="1"/>
    <col min="9" max="9" width="8.42578125" style="8" bestFit="1" customWidth="1"/>
    <col min="10" max="10" width="41.28515625" style="8" bestFit="1" customWidth="1"/>
    <col min="11" max="11" width="15.140625" style="8" bestFit="1" customWidth="1"/>
    <col min="12" max="12" width="28.42578125" style="8" bestFit="1" customWidth="1"/>
    <col min="13" max="14" width="17.28515625" style="8" bestFit="1" customWidth="1"/>
    <col min="15" max="15" width="17.42578125" style="8" bestFit="1" customWidth="1"/>
    <col min="16" max="17" width="12.7109375" style="8" bestFit="1" customWidth="1"/>
    <col min="18" max="22" width="9.140625" style="8"/>
  </cols>
  <sheetData>
    <row r="1" spans="1:32" ht="15.75" thickBot="1" x14ac:dyDescent="0.3">
      <c r="A1" t="s">
        <v>51</v>
      </c>
      <c r="C1" s="7" t="s">
        <v>164</v>
      </c>
      <c r="D1" s="7" t="s">
        <v>165</v>
      </c>
      <c r="E1" s="7" t="s">
        <v>180</v>
      </c>
    </row>
    <row r="2" spans="1:32" ht="15.75" thickTop="1" x14ac:dyDescent="0.25">
      <c r="A2" t="s">
        <v>107</v>
      </c>
      <c r="B2" t="str">
        <f>"offsh_CO2_storage_"&amp;""&amp;A2</f>
        <v>offsh_CO2_storage_NSDE011</v>
      </c>
      <c r="C2" s="19">
        <f>ROUND((IF($E2=1,VLOOKUP($A2,$A$28:$G$34,6,FALSE),VLOOKUP($A2,$A$38:$G$76,6,FALSE))),3)</f>
        <v>6.5</v>
      </c>
      <c r="D2" s="19">
        <f>ROUND((IF($E2=1,VLOOKUP($A2,$A$28:$G$34,7,FALSE),VLOOKUP($A2,$A$38:$G$76,7,FALSE))),3)</f>
        <v>54.5</v>
      </c>
      <c r="G2" s="2"/>
    </row>
    <row r="3" spans="1:32" x14ac:dyDescent="0.25">
      <c r="A3" t="s">
        <v>90</v>
      </c>
      <c r="B3" t="str">
        <f t="shared" ref="B3:B20" si="0">"offsh_CO2_storage_"&amp;""&amp;A3</f>
        <v>offsh_CO2_storage_NSDKW12</v>
      </c>
      <c r="C3" s="19">
        <f t="shared" ref="C3:C20" si="1">ROUND((IF($E3=1,VLOOKUP($A3,$A$28:$G$34,6,FALSE),VLOOKUP($A3,$A$38:$G$76,6,FALSE))),3)</f>
        <v>5.0819999999999999</v>
      </c>
      <c r="D3" s="19">
        <f t="shared" ref="D3:D20" si="2">ROUND((IF($E3=1,VLOOKUP($A3,$A$28:$G$34,7,FALSE),VLOOKUP($A3,$A$38:$G$76,7,FALSE))),3)</f>
        <v>56.366999999999997</v>
      </c>
      <c r="E3">
        <v>1</v>
      </c>
      <c r="G3" s="2"/>
    </row>
    <row r="4" spans="1:32" x14ac:dyDescent="0.25">
      <c r="A4" t="s">
        <v>104</v>
      </c>
      <c r="B4" t="str">
        <f t="shared" si="0"/>
        <v>offsh_CO2_storage_WMES06</v>
      </c>
      <c r="C4" s="19">
        <f t="shared" si="1"/>
        <v>1.27</v>
      </c>
      <c r="D4" s="19">
        <f t="shared" si="2"/>
        <v>40.6</v>
      </c>
      <c r="G4" s="2"/>
    </row>
    <row r="5" spans="1:32" x14ac:dyDescent="0.25">
      <c r="A5" t="s">
        <v>95</v>
      </c>
      <c r="B5" t="str">
        <f t="shared" si="0"/>
        <v>offsh_CO2_storage_EMGR02</v>
      </c>
      <c r="C5" s="19">
        <f t="shared" si="1"/>
        <v>24.625</v>
      </c>
      <c r="D5" s="19">
        <f t="shared" si="2"/>
        <v>40.966999999999999</v>
      </c>
      <c r="G5" s="2"/>
    </row>
    <row r="6" spans="1:32" x14ac:dyDescent="0.25">
      <c r="A6" t="s">
        <v>103</v>
      </c>
      <c r="B6" t="str">
        <f t="shared" si="0"/>
        <v>offsh_CO2_storage_ATIE03</v>
      </c>
      <c r="C6" s="19">
        <f t="shared" si="1"/>
        <v>-8.2509999999999994</v>
      </c>
      <c r="D6" s="19">
        <f t="shared" si="2"/>
        <v>51.8</v>
      </c>
      <c r="G6" s="2"/>
    </row>
    <row r="7" spans="1:32" x14ac:dyDescent="0.25">
      <c r="A7" t="s">
        <v>96</v>
      </c>
      <c r="B7" t="str">
        <f t="shared" si="0"/>
        <v>offsh_CO2_storage_WMITN1</v>
      </c>
      <c r="C7" s="19">
        <f t="shared" si="1"/>
        <v>12.287000000000001</v>
      </c>
      <c r="D7" s="19">
        <f t="shared" si="2"/>
        <v>44.494999999999997</v>
      </c>
      <c r="G7" s="2"/>
    </row>
    <row r="8" spans="1:32" x14ac:dyDescent="0.25">
      <c r="A8" t="s">
        <v>97</v>
      </c>
      <c r="B8" t="str">
        <f t="shared" si="0"/>
        <v>offsh_CO2_storage_NSNL012</v>
      </c>
      <c r="C8" s="19">
        <f t="shared" si="1"/>
        <v>4.117</v>
      </c>
      <c r="D8" s="19">
        <f t="shared" si="2"/>
        <v>53.645000000000003</v>
      </c>
      <c r="E8">
        <v>1</v>
      </c>
      <c r="T8" s="11"/>
      <c r="U8" s="11"/>
      <c r="V8" s="11"/>
      <c r="W8" s="8"/>
      <c r="X8" s="8"/>
      <c r="Y8" s="11"/>
      <c r="Z8" s="12"/>
      <c r="AA8" s="12"/>
      <c r="AB8" s="8"/>
      <c r="AC8" s="8"/>
      <c r="AD8" s="8"/>
      <c r="AE8" s="8"/>
      <c r="AF8" s="8"/>
    </row>
    <row r="9" spans="1:32" x14ac:dyDescent="0.25">
      <c r="A9" t="s">
        <v>89</v>
      </c>
      <c r="B9" t="str">
        <f t="shared" si="0"/>
        <v>offsh_CO2_storage_NSNL031</v>
      </c>
      <c r="C9" s="19">
        <f t="shared" si="1"/>
        <v>4.0209999999999999</v>
      </c>
      <c r="D9" s="19">
        <f t="shared" si="2"/>
        <v>52.435000000000002</v>
      </c>
      <c r="E9">
        <v>1</v>
      </c>
      <c r="T9" s="11"/>
      <c r="U9" s="11"/>
      <c r="V9" s="11"/>
      <c r="W9" s="8"/>
      <c r="X9" s="8"/>
      <c r="Y9" s="11"/>
      <c r="Z9" s="12"/>
      <c r="AA9" s="12"/>
      <c r="AB9" s="8"/>
      <c r="AC9" s="8"/>
      <c r="AD9" s="8"/>
      <c r="AE9" s="8"/>
      <c r="AF9" s="8"/>
    </row>
    <row r="10" spans="1:32" x14ac:dyDescent="0.25">
      <c r="A10" t="s">
        <v>94</v>
      </c>
      <c r="B10" t="str">
        <f t="shared" si="0"/>
        <v>offsh_CO2_storage_ASNON1</v>
      </c>
      <c r="C10" s="19">
        <f t="shared" si="1"/>
        <v>23.884</v>
      </c>
      <c r="D10" s="19">
        <f t="shared" si="2"/>
        <v>71.275999999999996</v>
      </c>
      <c r="E10">
        <v>1</v>
      </c>
      <c r="P10" s="12"/>
      <c r="Q10" s="12"/>
    </row>
    <row r="11" spans="1:32" x14ac:dyDescent="0.25">
      <c r="A11" t="s">
        <v>92</v>
      </c>
      <c r="B11" t="str">
        <f t="shared" si="0"/>
        <v>offsh_CO2_storage_ASNOS3</v>
      </c>
      <c r="C11" s="19">
        <f t="shared" si="1"/>
        <v>3.5529999999999999</v>
      </c>
      <c r="D11" s="19">
        <f t="shared" si="2"/>
        <v>60.38</v>
      </c>
      <c r="E11">
        <v>1</v>
      </c>
    </row>
    <row r="12" spans="1:32" x14ac:dyDescent="0.25">
      <c r="A12" t="s">
        <v>93</v>
      </c>
      <c r="B12" t="str">
        <f t="shared" si="0"/>
        <v>offsh_CO2_storage_NSNOS22</v>
      </c>
      <c r="C12" s="19">
        <f t="shared" si="1"/>
        <v>2.9209999999999998</v>
      </c>
      <c r="D12" s="19">
        <f t="shared" si="2"/>
        <v>58.05</v>
      </c>
      <c r="E12">
        <v>1</v>
      </c>
      <c r="P12" s="10"/>
      <c r="Q12" s="10"/>
    </row>
    <row r="13" spans="1:32" x14ac:dyDescent="0.25">
      <c r="A13" t="s">
        <v>106</v>
      </c>
      <c r="B13" t="str">
        <f t="shared" si="0"/>
        <v>offsh_CO2_storage_ASUK051</v>
      </c>
      <c r="C13" s="19">
        <f t="shared" si="1"/>
        <v>1.55</v>
      </c>
      <c r="D13" s="19">
        <f t="shared" si="2"/>
        <v>61.38</v>
      </c>
    </row>
    <row r="14" spans="1:32" x14ac:dyDescent="0.25">
      <c r="A14" t="s">
        <v>91</v>
      </c>
      <c r="B14" t="str">
        <f t="shared" si="0"/>
        <v>offsh_CO2_storage_ATUK031</v>
      </c>
      <c r="C14" s="19">
        <f t="shared" si="1"/>
        <v>-2.843</v>
      </c>
      <c r="D14" s="19">
        <f t="shared" si="2"/>
        <v>53.277000000000001</v>
      </c>
    </row>
    <row r="15" spans="1:32" x14ac:dyDescent="0.25">
      <c r="A15" t="s">
        <v>105</v>
      </c>
      <c r="B15" t="str">
        <f t="shared" si="0"/>
        <v>offsh_CO2_storage_ATUK043</v>
      </c>
      <c r="C15" s="19">
        <f t="shared" si="1"/>
        <v>-3.2</v>
      </c>
      <c r="D15" s="19">
        <f t="shared" si="2"/>
        <v>54.05</v>
      </c>
    </row>
    <row r="16" spans="1:32" x14ac:dyDescent="0.25">
      <c r="A16" t="s">
        <v>100</v>
      </c>
      <c r="B16" t="str">
        <f t="shared" si="0"/>
        <v>offsh_CO2_storage_NSUK011</v>
      </c>
      <c r="C16" s="19">
        <f t="shared" si="1"/>
        <v>1.478</v>
      </c>
      <c r="D16" s="19">
        <f t="shared" si="2"/>
        <v>52.853000000000002</v>
      </c>
    </row>
    <row r="17" spans="1:8" x14ac:dyDescent="0.25">
      <c r="A17" t="s">
        <v>101</v>
      </c>
      <c r="B17" t="str">
        <f t="shared" si="0"/>
        <v>offsh_CO2_storage_NSUK012</v>
      </c>
      <c r="C17" s="19">
        <f t="shared" si="1"/>
        <v>2.17</v>
      </c>
      <c r="D17" s="19">
        <f t="shared" si="2"/>
        <v>53.08</v>
      </c>
    </row>
    <row r="18" spans="1:8" x14ac:dyDescent="0.25">
      <c r="A18" t="s">
        <v>102</v>
      </c>
      <c r="B18" t="str">
        <f t="shared" si="0"/>
        <v>offsh_CO2_storage_NSUK041</v>
      </c>
      <c r="C18" s="19">
        <f t="shared" si="1"/>
        <v>0.4</v>
      </c>
      <c r="D18" s="19">
        <f t="shared" si="2"/>
        <v>53.9</v>
      </c>
    </row>
    <row r="19" spans="1:8" x14ac:dyDescent="0.25">
      <c r="A19" t="s">
        <v>99</v>
      </c>
      <c r="B19" t="str">
        <f t="shared" si="0"/>
        <v>offsh_CO2_storage_NSUK042</v>
      </c>
      <c r="C19" s="19">
        <f t="shared" si="1"/>
        <v>1.3029999999999999</v>
      </c>
      <c r="D19" s="19">
        <f t="shared" si="2"/>
        <v>54.197000000000003</v>
      </c>
      <c r="E19">
        <v>1</v>
      </c>
    </row>
    <row r="20" spans="1:8" x14ac:dyDescent="0.25">
      <c r="A20" t="s">
        <v>98</v>
      </c>
      <c r="B20" t="str">
        <f t="shared" si="0"/>
        <v>offsh_CO2_storage_NSUK052</v>
      </c>
      <c r="C20" s="19">
        <f t="shared" si="1"/>
        <v>1.3</v>
      </c>
      <c r="D20" s="19">
        <f t="shared" si="2"/>
        <v>57.9</v>
      </c>
    </row>
    <row r="26" spans="1:8" x14ac:dyDescent="0.25">
      <c r="A26" s="8" t="s">
        <v>182</v>
      </c>
      <c r="B26" s="8"/>
      <c r="C26" s="8"/>
      <c r="D26" s="8"/>
      <c r="E26" s="8"/>
      <c r="F26" s="8"/>
      <c r="G26" s="8"/>
    </row>
    <row r="27" spans="1:8" x14ac:dyDescent="0.25">
      <c r="A27" s="9" t="s">
        <v>51</v>
      </c>
      <c r="B27" s="9" t="s">
        <v>160</v>
      </c>
      <c r="C27" s="10" t="s">
        <v>161</v>
      </c>
      <c r="D27" s="10" t="s">
        <v>162</v>
      </c>
      <c r="E27" s="10" t="s">
        <v>163</v>
      </c>
      <c r="F27" s="10" t="s">
        <v>164</v>
      </c>
      <c r="G27" s="10" t="s">
        <v>165</v>
      </c>
      <c r="H27" s="10"/>
    </row>
    <row r="28" spans="1:8" x14ac:dyDescent="0.25">
      <c r="A28" s="8" t="s">
        <v>94</v>
      </c>
      <c r="B28" s="8" t="s">
        <v>22</v>
      </c>
      <c r="C28" s="11" t="s">
        <v>179</v>
      </c>
      <c r="D28" s="11" t="s">
        <v>170</v>
      </c>
      <c r="E28" s="11" t="s">
        <v>167</v>
      </c>
      <c r="F28" s="12">
        <f>SUMPRODUCT($F$38:$F$39,$H$38:$H$39)/SUM($H$38:$H$39)</f>
        <v>23.883783783783784</v>
      </c>
      <c r="G28" s="12">
        <f>SUMPRODUCT($G$38:$G$39,$H$38:$H$39)/SUM($H$38:$H$39)</f>
        <v>71.275675675675686</v>
      </c>
      <c r="H28" s="11"/>
    </row>
    <row r="29" spans="1:8" x14ac:dyDescent="0.25">
      <c r="A29" s="8" t="s">
        <v>92</v>
      </c>
      <c r="B29" s="8" t="s">
        <v>22</v>
      </c>
      <c r="C29" s="11" t="s">
        <v>179</v>
      </c>
      <c r="D29" s="11" t="s">
        <v>170</v>
      </c>
      <c r="E29" s="11" t="s">
        <v>167</v>
      </c>
      <c r="F29" s="12">
        <f>SUMPRODUCT($F$40:$F$46,$H$40:$H$46)/SUM($H$40:$H$46)</f>
        <v>3.5530264839999997</v>
      </c>
      <c r="G29" s="12">
        <f>SUMPRODUCT($G$40:$G$46,$H$40:$H$46)/SUM($H$40:$H$46)</f>
        <v>60.379802066000003</v>
      </c>
      <c r="H29" s="11"/>
    </row>
    <row r="30" spans="1:8" x14ac:dyDescent="0.25">
      <c r="A30" s="8" t="s">
        <v>90</v>
      </c>
      <c r="B30" s="8" t="s">
        <v>14</v>
      </c>
      <c r="C30" s="11" t="s">
        <v>179</v>
      </c>
      <c r="D30" s="11" t="s">
        <v>168</v>
      </c>
      <c r="E30" s="11" t="s">
        <v>167</v>
      </c>
      <c r="F30" s="12">
        <f>SUMPRODUCT($F$53:$F$54,$H$53:$H$54)/SUM($H$53:$H$54)</f>
        <v>5.081818181818182</v>
      </c>
      <c r="G30" s="12">
        <f>SUMPRODUCT($G$53:$G$54,$H$53:$H$54)/SUM($H$53:$H$54)</f>
        <v>56.367272727272727</v>
      </c>
      <c r="H30" s="11"/>
    </row>
    <row r="31" spans="1:8" x14ac:dyDescent="0.25">
      <c r="A31" s="8" t="s">
        <v>97</v>
      </c>
      <c r="B31" s="8" t="s">
        <v>21</v>
      </c>
      <c r="C31" s="11" t="s">
        <v>179</v>
      </c>
      <c r="D31" s="11" t="s">
        <v>166</v>
      </c>
      <c r="E31" s="11" t="s">
        <v>167</v>
      </c>
      <c r="F31" s="12">
        <f>SUMPRODUCT($F$55:$F$57,$H$55:$H$57)/SUM($H$55:$H$57)</f>
        <v>4.1166533333333337</v>
      </c>
      <c r="G31" s="12">
        <f>SUMPRODUCT($G$55:$G$57,$H$55:$H$57)/SUM($H$55:$H$57)</f>
        <v>53.644735476190469</v>
      </c>
      <c r="H31" s="11"/>
    </row>
    <row r="32" spans="1:8" x14ac:dyDescent="0.25">
      <c r="A32" s="8" t="s">
        <v>89</v>
      </c>
      <c r="B32" s="8" t="s">
        <v>21</v>
      </c>
      <c r="C32" s="11" t="s">
        <v>179</v>
      </c>
      <c r="D32" s="11" t="s">
        <v>166</v>
      </c>
      <c r="E32" s="11" t="s">
        <v>167</v>
      </c>
      <c r="F32" s="12">
        <f>SUMPRODUCT($F$58:$F$60,$H$58:$H$60)/SUM($H$58:$H$60)</f>
        <v>4.0208467741935481</v>
      </c>
      <c r="G32" s="12">
        <f>SUMPRODUCT($G$58:$G$60,$H$58:$H$60)/SUM($H$58:$H$60)</f>
        <v>52.435322580645156</v>
      </c>
      <c r="H32" s="11"/>
    </row>
    <row r="33" spans="1:8" x14ac:dyDescent="0.25">
      <c r="A33" s="8" t="s">
        <v>93</v>
      </c>
      <c r="B33" s="8" t="s">
        <v>22</v>
      </c>
      <c r="C33" s="11" t="s">
        <v>179</v>
      </c>
      <c r="D33" s="11" t="s">
        <v>170</v>
      </c>
      <c r="E33" s="11" t="s">
        <v>167</v>
      </c>
      <c r="F33" s="12">
        <f>SUMPRODUCT($F$61:$F$63,$H$61:$H$63)/SUM($H$61:$H$63)</f>
        <v>2.9212713333333329</v>
      </c>
      <c r="G33" s="12">
        <f>SUMPRODUCT($G$61:$G$63,$H$61:$H$63)/SUM($H$61:$H$63)</f>
        <v>58.050013666666672</v>
      </c>
      <c r="H33" s="11"/>
    </row>
    <row r="34" spans="1:8" x14ac:dyDescent="0.25">
      <c r="A34" s="8" t="s">
        <v>99</v>
      </c>
      <c r="B34" s="8" t="s">
        <v>24</v>
      </c>
      <c r="C34" s="11" t="s">
        <v>179</v>
      </c>
      <c r="D34" s="11" t="s">
        <v>169</v>
      </c>
      <c r="E34" s="11" t="s">
        <v>167</v>
      </c>
      <c r="F34" s="12">
        <f>SUMPRODUCT($F$70:$F$72,$H$70:$H$72)/SUM($H$70:$H$72)</f>
        <v>1.303030303030303</v>
      </c>
      <c r="G34" s="12">
        <f>SUMPRODUCT($G$70:$G$72,$H$70:$H$72)/SUM($H$70:$H$72)</f>
        <v>54.196969696969695</v>
      </c>
      <c r="H34" s="11"/>
    </row>
    <row r="35" spans="1:8" x14ac:dyDescent="0.25">
      <c r="A35" s="8"/>
      <c r="B35" s="8"/>
      <c r="C35" s="11"/>
      <c r="D35" s="11"/>
      <c r="E35" s="11"/>
      <c r="F35" s="8"/>
      <c r="G35" s="8"/>
      <c r="H35" s="11"/>
    </row>
    <row r="36" spans="1:8" x14ac:dyDescent="0.25">
      <c r="A36" s="8" t="s">
        <v>181</v>
      </c>
      <c r="B36" s="8"/>
      <c r="C36" s="8"/>
      <c r="D36" s="8"/>
      <c r="E36" s="8"/>
      <c r="F36" s="8"/>
      <c r="G36" s="8"/>
    </row>
    <row r="37" spans="1:8" x14ac:dyDescent="0.25">
      <c r="A37" s="9" t="s">
        <v>51</v>
      </c>
      <c r="B37" s="9" t="s">
        <v>160</v>
      </c>
      <c r="C37" s="10" t="s">
        <v>161</v>
      </c>
      <c r="D37" s="10" t="s">
        <v>162</v>
      </c>
      <c r="E37" s="10" t="s">
        <v>163</v>
      </c>
      <c r="F37" s="10" t="s">
        <v>164</v>
      </c>
      <c r="G37" s="10" t="s">
        <v>165</v>
      </c>
      <c r="H37" s="10" t="s">
        <v>178</v>
      </c>
    </row>
    <row r="38" spans="1:8" x14ac:dyDescent="0.25">
      <c r="A38" s="8" t="s">
        <v>94</v>
      </c>
      <c r="B38" s="8" t="s">
        <v>22</v>
      </c>
      <c r="C38" s="11" t="s">
        <v>172</v>
      </c>
      <c r="D38" s="11" t="s">
        <v>170</v>
      </c>
      <c r="E38" s="11" t="s">
        <v>167</v>
      </c>
      <c r="F38" s="12">
        <v>22.1</v>
      </c>
      <c r="G38" s="12">
        <v>71.599999999999994</v>
      </c>
      <c r="H38" s="11">
        <v>0.7</v>
      </c>
    </row>
    <row r="39" spans="1:8" x14ac:dyDescent="0.25">
      <c r="A39" s="8" t="s">
        <v>94</v>
      </c>
      <c r="B39" s="8" t="s">
        <v>22</v>
      </c>
      <c r="C39" s="11" t="s">
        <v>69</v>
      </c>
      <c r="D39" s="11" t="s">
        <v>170</v>
      </c>
      <c r="E39" s="11" t="s">
        <v>167</v>
      </c>
      <c r="F39" s="12">
        <v>24.3</v>
      </c>
      <c r="G39" s="12">
        <v>71.2</v>
      </c>
      <c r="H39" s="11">
        <v>3</v>
      </c>
    </row>
    <row r="40" spans="1:8" x14ac:dyDescent="0.25">
      <c r="A40" s="8" t="s">
        <v>92</v>
      </c>
      <c r="B40" s="8" t="s">
        <v>22</v>
      </c>
      <c r="C40" s="11" t="s">
        <v>56</v>
      </c>
      <c r="D40" s="11" t="s">
        <v>170</v>
      </c>
      <c r="E40" s="11" t="s">
        <v>167</v>
      </c>
      <c r="F40" s="12">
        <v>3.6889006000000002</v>
      </c>
      <c r="G40" s="12">
        <v>60.568691899999997</v>
      </c>
      <c r="H40" s="11">
        <v>5.2</v>
      </c>
    </row>
    <row r="41" spans="1:8" x14ac:dyDescent="0.25">
      <c r="A41" s="8" t="s">
        <v>92</v>
      </c>
      <c r="B41" s="8" t="s">
        <v>22</v>
      </c>
      <c r="C41" s="11" t="s">
        <v>60</v>
      </c>
      <c r="D41" s="11" t="s">
        <v>170</v>
      </c>
      <c r="E41" s="11" t="s">
        <v>167</v>
      </c>
      <c r="F41" s="12">
        <v>4.0779509999999997</v>
      </c>
      <c r="G41" s="12">
        <v>60.652963</v>
      </c>
      <c r="H41" s="11">
        <v>20</v>
      </c>
    </row>
    <row r="42" spans="1:8" x14ac:dyDescent="0.25">
      <c r="A42" s="8" t="s">
        <v>92</v>
      </c>
      <c r="B42" s="8" t="s">
        <v>22</v>
      </c>
      <c r="C42" s="11" t="s">
        <v>68</v>
      </c>
      <c r="D42" s="11" t="s">
        <v>170</v>
      </c>
      <c r="E42" s="11" t="s">
        <v>167</v>
      </c>
      <c r="F42" s="12">
        <v>3.2</v>
      </c>
      <c r="G42" s="12">
        <v>61</v>
      </c>
      <c r="H42" s="11">
        <v>5</v>
      </c>
    </row>
    <row r="43" spans="1:8" x14ac:dyDescent="0.25">
      <c r="A43" s="8" t="s">
        <v>92</v>
      </c>
      <c r="B43" s="8" t="s">
        <v>22</v>
      </c>
      <c r="C43" s="11" t="s">
        <v>71</v>
      </c>
      <c r="D43" s="11" t="s">
        <v>170</v>
      </c>
      <c r="E43" s="11" t="s">
        <v>167</v>
      </c>
      <c r="F43" s="12">
        <v>2.8</v>
      </c>
      <c r="G43" s="12">
        <v>59.7</v>
      </c>
      <c r="H43" s="11">
        <v>7</v>
      </c>
    </row>
    <row r="44" spans="1:8" x14ac:dyDescent="0.25">
      <c r="A44" s="8" t="s">
        <v>92</v>
      </c>
      <c r="B44" s="8" t="s">
        <v>22</v>
      </c>
      <c r="C44" s="11" t="s">
        <v>82</v>
      </c>
      <c r="D44" s="11" t="s">
        <v>170</v>
      </c>
      <c r="E44" s="11" t="s">
        <v>167</v>
      </c>
      <c r="F44" s="8">
        <v>3.12</v>
      </c>
      <c r="G44" s="8">
        <v>60.05</v>
      </c>
      <c r="H44" s="11">
        <v>6</v>
      </c>
    </row>
    <row r="45" spans="1:8" x14ac:dyDescent="0.25">
      <c r="A45" s="8" t="s">
        <v>92</v>
      </c>
      <c r="B45" s="8" t="s">
        <v>22</v>
      </c>
      <c r="C45" s="11" t="s">
        <v>83</v>
      </c>
      <c r="D45" s="11" t="s">
        <v>170</v>
      </c>
      <c r="E45" s="11" t="s">
        <v>167</v>
      </c>
      <c r="F45" s="8">
        <v>3.19</v>
      </c>
      <c r="G45" s="8">
        <v>59.75</v>
      </c>
      <c r="H45" s="11">
        <v>5</v>
      </c>
    </row>
    <row r="46" spans="1:8" x14ac:dyDescent="0.25">
      <c r="A46" s="8" t="s">
        <v>92</v>
      </c>
      <c r="B46" s="8" t="s">
        <v>22</v>
      </c>
      <c r="C46" s="11" t="s">
        <v>84</v>
      </c>
      <c r="D46" s="11" t="s">
        <v>170</v>
      </c>
      <c r="E46" s="11" t="s">
        <v>167</v>
      </c>
      <c r="F46" s="12">
        <v>3.6889006000000002</v>
      </c>
      <c r="G46" s="12">
        <v>60.568691899999997</v>
      </c>
      <c r="H46" s="11">
        <v>1.7999999999999998</v>
      </c>
    </row>
    <row r="47" spans="1:8" x14ac:dyDescent="0.25">
      <c r="A47" s="8" t="s">
        <v>106</v>
      </c>
      <c r="B47" s="8" t="s">
        <v>24</v>
      </c>
      <c r="C47" s="8" t="s">
        <v>81</v>
      </c>
      <c r="D47" s="11" t="s">
        <v>169</v>
      </c>
      <c r="E47" s="11" t="s">
        <v>167</v>
      </c>
      <c r="F47" s="8">
        <v>1.55</v>
      </c>
      <c r="G47" s="8">
        <v>61.38</v>
      </c>
      <c r="H47" s="11">
        <v>10</v>
      </c>
    </row>
    <row r="48" spans="1:8" x14ac:dyDescent="0.25">
      <c r="A48" s="8" t="s">
        <v>103</v>
      </c>
      <c r="B48" s="8" t="s">
        <v>19</v>
      </c>
      <c r="C48" s="11" t="s">
        <v>72</v>
      </c>
      <c r="D48" s="11" t="s">
        <v>175</v>
      </c>
      <c r="E48" s="11" t="s">
        <v>167</v>
      </c>
      <c r="F48" s="13">
        <v>-8.2509999999999994</v>
      </c>
      <c r="G48" s="13">
        <v>51.8</v>
      </c>
      <c r="H48" s="11">
        <v>2.5</v>
      </c>
    </row>
    <row r="49" spans="1:22" x14ac:dyDescent="0.25">
      <c r="A49" s="8" t="s">
        <v>91</v>
      </c>
      <c r="B49" s="8" t="s">
        <v>24</v>
      </c>
      <c r="C49" s="11" t="s">
        <v>55</v>
      </c>
      <c r="D49" s="11" t="s">
        <v>169</v>
      </c>
      <c r="E49" s="11" t="s">
        <v>167</v>
      </c>
      <c r="F49" s="12">
        <v>-2.8433000000000002</v>
      </c>
      <c r="G49" s="12">
        <v>53.276899999999998</v>
      </c>
      <c r="H49" s="11">
        <v>10</v>
      </c>
    </row>
    <row r="50" spans="1:22" x14ac:dyDescent="0.25">
      <c r="A50" s="8" t="s">
        <v>105</v>
      </c>
      <c r="B50" s="8" t="s">
        <v>24</v>
      </c>
      <c r="C50" s="11" t="s">
        <v>79</v>
      </c>
      <c r="D50" s="11" t="s">
        <v>169</v>
      </c>
      <c r="E50" s="11" t="s">
        <v>167</v>
      </c>
      <c r="F50" s="14">
        <v>-3.2</v>
      </c>
      <c r="G50" s="14">
        <v>54.05</v>
      </c>
      <c r="H50" s="11">
        <v>25</v>
      </c>
    </row>
    <row r="51" spans="1:22" x14ac:dyDescent="0.25">
      <c r="A51" s="8" t="s">
        <v>95</v>
      </c>
      <c r="B51" s="8" t="s">
        <v>17</v>
      </c>
      <c r="C51" s="11" t="s">
        <v>57</v>
      </c>
      <c r="D51" s="11" t="s">
        <v>173</v>
      </c>
      <c r="E51" s="11" t="s">
        <v>167</v>
      </c>
      <c r="F51" s="13">
        <v>24.625</v>
      </c>
      <c r="G51" s="13">
        <v>40.966999999999999</v>
      </c>
      <c r="H51" s="11">
        <v>2.5</v>
      </c>
    </row>
    <row r="52" spans="1:22" x14ac:dyDescent="0.25">
      <c r="A52" s="8" t="s">
        <v>107</v>
      </c>
      <c r="B52" s="8" t="s">
        <v>13</v>
      </c>
      <c r="C52" s="11" t="s">
        <v>88</v>
      </c>
      <c r="D52" s="11" t="s">
        <v>177</v>
      </c>
      <c r="E52" s="11" t="s">
        <v>167</v>
      </c>
      <c r="F52" s="11">
        <v>6.5</v>
      </c>
      <c r="G52" s="11">
        <v>54.5</v>
      </c>
      <c r="H52" s="8">
        <v>60</v>
      </c>
    </row>
    <row r="53" spans="1:22" x14ac:dyDescent="0.25">
      <c r="A53" s="8" t="s">
        <v>90</v>
      </c>
      <c r="B53" s="8" t="s">
        <v>14</v>
      </c>
      <c r="C53" s="11" t="s">
        <v>53</v>
      </c>
      <c r="D53" s="11" t="s">
        <v>168</v>
      </c>
      <c r="E53" s="11" t="s">
        <v>167</v>
      </c>
      <c r="F53" s="12">
        <v>5.3</v>
      </c>
      <c r="G53" s="12">
        <v>56.43</v>
      </c>
      <c r="H53" s="11">
        <v>8</v>
      </c>
    </row>
    <row r="54" spans="1:22" x14ac:dyDescent="0.25">
      <c r="A54" s="8" t="s">
        <v>90</v>
      </c>
      <c r="B54" s="8" t="s">
        <v>14</v>
      </c>
      <c r="C54" s="11" t="s">
        <v>54</v>
      </c>
      <c r="D54" s="11" t="s">
        <v>168</v>
      </c>
      <c r="E54" s="11" t="s">
        <v>167</v>
      </c>
      <c r="F54" s="12">
        <v>4.5</v>
      </c>
      <c r="G54" s="12">
        <v>56.2</v>
      </c>
      <c r="H54" s="11">
        <v>3</v>
      </c>
      <c r="R54"/>
      <c r="S54"/>
      <c r="T54"/>
      <c r="U54"/>
      <c r="V54"/>
    </row>
    <row r="55" spans="1:22" x14ac:dyDescent="0.25">
      <c r="A55" s="8" t="s">
        <v>97</v>
      </c>
      <c r="B55" s="8" t="s">
        <v>21</v>
      </c>
      <c r="C55" s="11" t="s">
        <v>59</v>
      </c>
      <c r="D55" s="11" t="s">
        <v>166</v>
      </c>
      <c r="E55" s="11" t="s">
        <v>167</v>
      </c>
      <c r="F55" s="12">
        <v>4.09</v>
      </c>
      <c r="G55" s="12">
        <v>53.72</v>
      </c>
      <c r="H55" s="11">
        <v>8</v>
      </c>
    </row>
    <row r="56" spans="1:22" x14ac:dyDescent="0.25">
      <c r="A56" s="8" t="s">
        <v>97</v>
      </c>
      <c r="B56" s="8" t="s">
        <v>21</v>
      </c>
      <c r="C56" s="11" t="s">
        <v>74</v>
      </c>
      <c r="D56" s="15" t="s">
        <v>166</v>
      </c>
      <c r="E56" s="15" t="s">
        <v>167</v>
      </c>
      <c r="F56" s="16">
        <v>4.2019440000000001</v>
      </c>
      <c r="G56" s="8">
        <v>53.403888999999999</v>
      </c>
      <c r="H56" s="11">
        <v>5</v>
      </c>
    </row>
    <row r="57" spans="1:22" x14ac:dyDescent="0.25">
      <c r="A57" s="8" t="s">
        <v>97</v>
      </c>
      <c r="B57" s="8" t="s">
        <v>21</v>
      </c>
      <c r="C57" s="11" t="s">
        <v>85</v>
      </c>
      <c r="D57" s="11" t="s">
        <v>166</v>
      </c>
      <c r="E57" s="11" t="s">
        <v>167</v>
      </c>
      <c r="F57" s="12">
        <v>4.09</v>
      </c>
      <c r="G57" s="12">
        <v>53.72</v>
      </c>
      <c r="H57" s="11">
        <v>8</v>
      </c>
    </row>
    <row r="58" spans="1:22" x14ac:dyDescent="0.25">
      <c r="A58" s="8" t="s">
        <v>89</v>
      </c>
      <c r="B58" s="8" t="s">
        <v>21</v>
      </c>
      <c r="C58" s="11" t="s">
        <v>52</v>
      </c>
      <c r="D58" s="11" t="s">
        <v>166</v>
      </c>
      <c r="E58" s="11" t="s">
        <v>167</v>
      </c>
      <c r="F58" s="12">
        <v>3.9377</v>
      </c>
      <c r="G58" s="12">
        <v>52.125999999999998</v>
      </c>
      <c r="H58" s="11">
        <v>2.5</v>
      </c>
    </row>
    <row r="59" spans="1:22" x14ac:dyDescent="0.25">
      <c r="A59" s="8" t="s">
        <v>89</v>
      </c>
      <c r="B59" s="8" t="s">
        <v>21</v>
      </c>
      <c r="C59" s="11" t="s">
        <v>86</v>
      </c>
      <c r="D59" s="11" t="s">
        <v>166</v>
      </c>
      <c r="E59" s="11" t="s">
        <v>167</v>
      </c>
      <c r="F59" s="8">
        <v>4.05</v>
      </c>
      <c r="G59" s="8">
        <v>52.07</v>
      </c>
      <c r="H59" s="11">
        <v>1.2</v>
      </c>
    </row>
    <row r="60" spans="1:22" x14ac:dyDescent="0.25">
      <c r="A60" s="8" t="s">
        <v>89</v>
      </c>
      <c r="B60" s="8" t="s">
        <v>21</v>
      </c>
      <c r="C60" s="11" t="s">
        <v>87</v>
      </c>
      <c r="D60" s="11" t="s">
        <v>166</v>
      </c>
      <c r="E60" s="11" t="s">
        <v>167</v>
      </c>
      <c r="F60" s="8">
        <v>4.09</v>
      </c>
      <c r="G60" s="8">
        <v>52.92</v>
      </c>
      <c r="H60" s="11">
        <v>2.5</v>
      </c>
    </row>
    <row r="61" spans="1:22" x14ac:dyDescent="0.25">
      <c r="A61" s="8" t="s">
        <v>93</v>
      </c>
      <c r="B61" s="8" t="s">
        <v>22</v>
      </c>
      <c r="C61" s="11" t="s">
        <v>171</v>
      </c>
      <c r="D61" s="11" t="s">
        <v>170</v>
      </c>
      <c r="E61" s="11" t="s">
        <v>167</v>
      </c>
      <c r="F61" s="12">
        <v>1.9</v>
      </c>
      <c r="G61" s="12">
        <v>58.37</v>
      </c>
      <c r="H61" s="11">
        <v>1</v>
      </c>
    </row>
    <row r="62" spans="1:22" x14ac:dyDescent="0.25">
      <c r="A62" s="8" t="s">
        <v>93</v>
      </c>
      <c r="B62" s="8" t="s">
        <v>22</v>
      </c>
      <c r="C62" s="11" t="s">
        <v>67</v>
      </c>
      <c r="D62" s="11" t="s">
        <v>170</v>
      </c>
      <c r="E62" s="11" t="s">
        <v>167</v>
      </c>
      <c r="F62" s="12">
        <v>4.9638140000000002</v>
      </c>
      <c r="G62" s="12">
        <v>57.716040999999997</v>
      </c>
      <c r="H62" s="11">
        <v>5</v>
      </c>
    </row>
    <row r="63" spans="1:22" x14ac:dyDescent="0.25">
      <c r="A63" s="8" t="s">
        <v>93</v>
      </c>
      <c r="B63" s="8" t="s">
        <v>22</v>
      </c>
      <c r="C63" s="11" t="s">
        <v>70</v>
      </c>
      <c r="D63" s="11" t="s">
        <v>170</v>
      </c>
      <c r="E63" s="11" t="s">
        <v>167</v>
      </c>
      <c r="F63" s="12">
        <v>1.9</v>
      </c>
      <c r="G63" s="12">
        <v>58.2</v>
      </c>
      <c r="H63" s="11">
        <v>9</v>
      </c>
    </row>
    <row r="64" spans="1:22" x14ac:dyDescent="0.25">
      <c r="A64" s="8" t="s">
        <v>100</v>
      </c>
      <c r="B64" s="8" t="s">
        <v>24</v>
      </c>
      <c r="C64" s="11" t="s">
        <v>63</v>
      </c>
      <c r="D64" s="11" t="s">
        <v>169</v>
      </c>
      <c r="E64" s="11" t="s">
        <v>167</v>
      </c>
      <c r="F64" s="12">
        <v>1.478</v>
      </c>
      <c r="G64" s="12">
        <v>52.853000000000002</v>
      </c>
      <c r="H64" s="11">
        <v>10</v>
      </c>
    </row>
    <row r="65" spans="1:8" x14ac:dyDescent="0.25">
      <c r="A65" s="8" t="s">
        <v>100</v>
      </c>
      <c r="B65" s="8" t="s">
        <v>24</v>
      </c>
      <c r="C65" s="11" t="s">
        <v>76</v>
      </c>
      <c r="D65" s="11" t="s">
        <v>169</v>
      </c>
      <c r="E65" s="11" t="s">
        <v>167</v>
      </c>
      <c r="F65" s="12">
        <v>1.478</v>
      </c>
      <c r="G65" s="12">
        <v>52.853000000000002</v>
      </c>
      <c r="H65" s="11">
        <v>10</v>
      </c>
    </row>
    <row r="66" spans="1:8" x14ac:dyDescent="0.25">
      <c r="A66" s="8" t="s">
        <v>101</v>
      </c>
      <c r="B66" s="8" t="s">
        <v>24</v>
      </c>
      <c r="C66" s="11" t="s">
        <v>64</v>
      </c>
      <c r="D66" s="11" t="s">
        <v>169</v>
      </c>
      <c r="E66" s="11" t="s">
        <v>167</v>
      </c>
      <c r="F66" s="12">
        <v>2.17</v>
      </c>
      <c r="G66" s="12">
        <v>53.08</v>
      </c>
      <c r="H66" s="11">
        <v>1.5</v>
      </c>
    </row>
    <row r="67" spans="1:8" x14ac:dyDescent="0.25">
      <c r="A67" s="8" t="s">
        <v>101</v>
      </c>
      <c r="B67" s="8" t="s">
        <v>24</v>
      </c>
      <c r="C67" s="11" t="s">
        <v>80</v>
      </c>
      <c r="D67" s="11" t="s">
        <v>169</v>
      </c>
      <c r="E67" s="11" t="s">
        <v>167</v>
      </c>
      <c r="F67" s="12">
        <v>2.17</v>
      </c>
      <c r="G67" s="12">
        <v>53.08</v>
      </c>
      <c r="H67" s="11">
        <v>38.5</v>
      </c>
    </row>
    <row r="68" spans="1:8" x14ac:dyDescent="0.25">
      <c r="A68" s="8" t="s">
        <v>102</v>
      </c>
      <c r="B68" s="8" t="s">
        <v>24</v>
      </c>
      <c r="C68" s="11" t="s">
        <v>66</v>
      </c>
      <c r="D68" s="11" t="s">
        <v>169</v>
      </c>
      <c r="E68" s="11" t="s">
        <v>167</v>
      </c>
      <c r="F68" s="12">
        <v>0.4</v>
      </c>
      <c r="G68" s="12">
        <v>53.9</v>
      </c>
      <c r="H68" s="11">
        <v>1</v>
      </c>
    </row>
    <row r="69" spans="1:8" x14ac:dyDescent="0.25">
      <c r="A69" s="8" t="s">
        <v>102</v>
      </c>
      <c r="B69" s="8" t="s">
        <v>24</v>
      </c>
      <c r="C69" s="11" t="s">
        <v>77</v>
      </c>
      <c r="D69" s="11" t="s">
        <v>169</v>
      </c>
      <c r="E69" s="11" t="s">
        <v>167</v>
      </c>
      <c r="F69" s="12">
        <v>0.4</v>
      </c>
      <c r="G69" s="12">
        <v>53.9</v>
      </c>
      <c r="H69" s="11">
        <v>5</v>
      </c>
    </row>
    <row r="70" spans="1:8" x14ac:dyDescent="0.25">
      <c r="A70" s="8" t="s">
        <v>99</v>
      </c>
      <c r="B70" s="8" t="s">
        <v>24</v>
      </c>
      <c r="C70" s="11" t="s">
        <v>62</v>
      </c>
      <c r="D70" s="11" t="s">
        <v>169</v>
      </c>
      <c r="E70" s="11" t="s">
        <v>167</v>
      </c>
      <c r="F70" s="12">
        <v>2</v>
      </c>
      <c r="G70" s="12">
        <v>53.5</v>
      </c>
      <c r="H70" s="11">
        <v>10</v>
      </c>
    </row>
    <row r="71" spans="1:8" x14ac:dyDescent="0.25">
      <c r="A71" s="8" t="s">
        <v>99</v>
      </c>
      <c r="B71" s="8" t="s">
        <v>24</v>
      </c>
      <c r="C71" s="11" t="s">
        <v>65</v>
      </c>
      <c r="D71" s="11" t="s">
        <v>169</v>
      </c>
      <c r="E71" s="11" t="s">
        <v>167</v>
      </c>
      <c r="F71" s="12">
        <v>1</v>
      </c>
      <c r="G71" s="12">
        <v>54.5</v>
      </c>
      <c r="H71" s="11">
        <v>15</v>
      </c>
    </row>
    <row r="72" spans="1:8" x14ac:dyDescent="0.25">
      <c r="A72" s="8" t="s">
        <v>99</v>
      </c>
      <c r="B72" s="8" t="s">
        <v>24</v>
      </c>
      <c r="C72" s="11" t="s">
        <v>78</v>
      </c>
      <c r="D72" s="11" t="s">
        <v>169</v>
      </c>
      <c r="E72" s="11" t="s">
        <v>167</v>
      </c>
      <c r="F72" s="12">
        <v>1</v>
      </c>
      <c r="G72" s="12">
        <v>54.5</v>
      </c>
      <c r="H72" s="11">
        <v>8</v>
      </c>
    </row>
    <row r="73" spans="1:8" x14ac:dyDescent="0.25">
      <c r="A73" s="8" t="s">
        <v>98</v>
      </c>
      <c r="B73" s="8" t="s">
        <v>24</v>
      </c>
      <c r="C73" s="11" t="s">
        <v>61</v>
      </c>
      <c r="D73" s="11" t="s">
        <v>169</v>
      </c>
      <c r="E73" s="11" t="s">
        <v>167</v>
      </c>
      <c r="F73" s="12">
        <v>1.3</v>
      </c>
      <c r="G73" s="12">
        <v>57.9</v>
      </c>
      <c r="H73" s="11">
        <v>5</v>
      </c>
    </row>
    <row r="74" spans="1:8" x14ac:dyDescent="0.25">
      <c r="A74" s="8" t="s">
        <v>98</v>
      </c>
      <c r="B74" s="8" t="s">
        <v>24</v>
      </c>
      <c r="C74" s="11" t="s">
        <v>75</v>
      </c>
      <c r="D74" s="11" t="s">
        <v>169</v>
      </c>
      <c r="E74" s="11" t="s">
        <v>167</v>
      </c>
      <c r="F74" s="12">
        <v>1.3</v>
      </c>
      <c r="G74" s="12">
        <v>57.9</v>
      </c>
      <c r="H74" s="11">
        <v>15</v>
      </c>
    </row>
    <row r="75" spans="1:8" x14ac:dyDescent="0.25">
      <c r="A75" s="8" t="s">
        <v>104</v>
      </c>
      <c r="B75" s="8" t="s">
        <v>15</v>
      </c>
      <c r="C75" s="17" t="s">
        <v>73</v>
      </c>
      <c r="D75" s="15" t="s">
        <v>176</v>
      </c>
      <c r="E75" s="15" t="s">
        <v>167</v>
      </c>
      <c r="F75" s="16">
        <v>1.27</v>
      </c>
      <c r="G75" s="16">
        <v>40.6</v>
      </c>
      <c r="H75" s="11">
        <v>2</v>
      </c>
    </row>
    <row r="76" spans="1:8" x14ac:dyDescent="0.25">
      <c r="A76" s="8" t="s">
        <v>96</v>
      </c>
      <c r="B76" s="8" t="s">
        <v>20</v>
      </c>
      <c r="C76" s="11" t="s">
        <v>58</v>
      </c>
      <c r="D76" s="11" t="s">
        <v>174</v>
      </c>
      <c r="E76" s="11" t="s">
        <v>167</v>
      </c>
      <c r="F76" s="13">
        <v>12.2867</v>
      </c>
      <c r="G76" s="13">
        <v>44.494900000000001</v>
      </c>
      <c r="H76" s="11">
        <v>4</v>
      </c>
    </row>
    <row r="77" spans="1:8" x14ac:dyDescent="0.25">
      <c r="A77" s="8"/>
      <c r="B77" s="8"/>
      <c r="C77" s="8"/>
      <c r="D77" s="8"/>
      <c r="E77" s="8"/>
      <c r="F77" s="8"/>
      <c r="G77" s="8"/>
    </row>
    <row r="78" spans="1:8" x14ac:dyDescent="0.25">
      <c r="A78" s="8"/>
      <c r="B78" s="8"/>
      <c r="C78" s="8"/>
      <c r="D78" s="8"/>
      <c r="E78" s="8"/>
      <c r="F78" s="8"/>
      <c r="G78" s="8"/>
    </row>
    <row r="79" spans="1:8" x14ac:dyDescent="0.25">
      <c r="A79" s="8"/>
      <c r="B79" s="8"/>
      <c r="C79" s="8"/>
      <c r="D79" s="8"/>
      <c r="E79" s="8"/>
      <c r="F79" s="8"/>
      <c r="G79" s="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6FF70-4FC3-40DF-9842-EB92BDF903E5}">
  <dimension ref="A3:C190"/>
  <sheetViews>
    <sheetView workbookViewId="0">
      <selection activeCell="D12" sqref="D12"/>
    </sheetView>
  </sheetViews>
  <sheetFormatPr defaultRowHeight="15" x14ac:dyDescent="0.25"/>
  <sheetData>
    <row r="3" spans="1:3" x14ac:dyDescent="0.25">
      <c r="A3" s="30" t="str">
        <f>B3&amp;" "&amp;C3</f>
        <v>AL GR</v>
      </c>
      <c r="B3" t="s">
        <v>11</v>
      </c>
      <c r="C3" t="s">
        <v>17</v>
      </c>
    </row>
    <row r="4" spans="1:3" x14ac:dyDescent="0.25">
      <c r="A4" s="30" t="str">
        <f t="shared" ref="A4:A67" si="0">B4&amp;" "&amp;C4</f>
        <v>AL ME</v>
      </c>
      <c r="B4" t="s">
        <v>11</v>
      </c>
      <c r="C4" t="s">
        <v>38</v>
      </c>
    </row>
    <row r="5" spans="1:3" x14ac:dyDescent="0.25">
      <c r="A5" s="30" t="str">
        <f t="shared" si="0"/>
        <v>AL MK</v>
      </c>
      <c r="B5" t="s">
        <v>11</v>
      </c>
      <c r="C5" t="s">
        <v>39</v>
      </c>
    </row>
    <row r="6" spans="1:3" x14ac:dyDescent="0.25">
      <c r="A6" s="30" t="str">
        <f t="shared" si="0"/>
        <v>AL XK</v>
      </c>
      <c r="B6" t="s">
        <v>11</v>
      </c>
      <c r="C6" t="s">
        <v>49</v>
      </c>
    </row>
    <row r="7" spans="1:3" x14ac:dyDescent="0.25">
      <c r="A7" s="30" t="str">
        <f t="shared" si="0"/>
        <v>AT CH</v>
      </c>
      <c r="B7" t="s">
        <v>25</v>
      </c>
      <c r="C7" t="s">
        <v>28</v>
      </c>
    </row>
    <row r="8" spans="1:3" x14ac:dyDescent="0.25">
      <c r="A8" s="30" t="str">
        <f t="shared" si="0"/>
        <v>AT CZ</v>
      </c>
      <c r="B8" t="s">
        <v>25</v>
      </c>
      <c r="C8" t="s">
        <v>30</v>
      </c>
    </row>
    <row r="9" spans="1:3" x14ac:dyDescent="0.25">
      <c r="A9" s="30" t="str">
        <f t="shared" si="0"/>
        <v>AT DE</v>
      </c>
      <c r="B9" t="s">
        <v>25</v>
      </c>
      <c r="C9" t="s">
        <v>13</v>
      </c>
    </row>
    <row r="10" spans="1:3" x14ac:dyDescent="0.25">
      <c r="A10" s="30" t="str">
        <f t="shared" si="0"/>
        <v>AT HU</v>
      </c>
      <c r="B10" t="s">
        <v>25</v>
      </c>
      <c r="C10" t="s">
        <v>33</v>
      </c>
    </row>
    <row r="11" spans="1:3" x14ac:dyDescent="0.25">
      <c r="A11" s="30" t="str">
        <f t="shared" si="0"/>
        <v>AT IT</v>
      </c>
      <c r="B11" t="s">
        <v>25</v>
      </c>
      <c r="C11" t="s">
        <v>20</v>
      </c>
    </row>
    <row r="12" spans="1:3" x14ac:dyDescent="0.25">
      <c r="A12" s="30" t="str">
        <f t="shared" si="0"/>
        <v>AT SI</v>
      </c>
      <c r="B12" t="s">
        <v>25</v>
      </c>
      <c r="C12" t="s">
        <v>45</v>
      </c>
    </row>
    <row r="13" spans="1:3" x14ac:dyDescent="0.25">
      <c r="A13" s="30" t="str">
        <f t="shared" si="0"/>
        <v>AT SK</v>
      </c>
      <c r="B13" t="s">
        <v>25</v>
      </c>
      <c r="C13" t="s">
        <v>46</v>
      </c>
    </row>
    <row r="14" spans="1:3" x14ac:dyDescent="0.25">
      <c r="A14" s="30" t="str">
        <f t="shared" si="0"/>
        <v>BA HR</v>
      </c>
      <c r="B14" t="s">
        <v>26</v>
      </c>
      <c r="C14" t="s">
        <v>18</v>
      </c>
    </row>
    <row r="15" spans="1:3" x14ac:dyDescent="0.25">
      <c r="A15" s="30" t="str">
        <f t="shared" si="0"/>
        <v>BA ME</v>
      </c>
      <c r="B15" t="s">
        <v>26</v>
      </c>
      <c r="C15" t="s">
        <v>38</v>
      </c>
    </row>
    <row r="16" spans="1:3" x14ac:dyDescent="0.25">
      <c r="A16" s="30" t="str">
        <f t="shared" si="0"/>
        <v>BA RS</v>
      </c>
      <c r="B16" t="s">
        <v>26</v>
      </c>
      <c r="C16" t="s">
        <v>43</v>
      </c>
    </row>
    <row r="17" spans="1:3" x14ac:dyDescent="0.25">
      <c r="A17" s="30" t="str">
        <f t="shared" si="0"/>
        <v>BE DE</v>
      </c>
      <c r="B17" t="s">
        <v>27</v>
      </c>
      <c r="C17" t="s">
        <v>13</v>
      </c>
    </row>
    <row r="18" spans="1:3" x14ac:dyDescent="0.25">
      <c r="A18" s="30" t="str">
        <f t="shared" si="0"/>
        <v>BE FR</v>
      </c>
      <c r="B18" t="s">
        <v>27</v>
      </c>
      <c r="C18" t="s">
        <v>16</v>
      </c>
    </row>
    <row r="19" spans="1:3" x14ac:dyDescent="0.25">
      <c r="A19" s="30" t="str">
        <f t="shared" si="0"/>
        <v>BE LU</v>
      </c>
      <c r="B19" t="s">
        <v>27</v>
      </c>
      <c r="C19" t="s">
        <v>35</v>
      </c>
    </row>
    <row r="20" spans="1:3" x14ac:dyDescent="0.25">
      <c r="A20" s="30" t="str">
        <f t="shared" si="0"/>
        <v>BE NL</v>
      </c>
      <c r="B20" t="s">
        <v>27</v>
      </c>
      <c r="C20" t="s">
        <v>21</v>
      </c>
    </row>
    <row r="21" spans="1:3" x14ac:dyDescent="0.25">
      <c r="A21" s="30" t="str">
        <f t="shared" si="0"/>
        <v>BE UK</v>
      </c>
      <c r="B21" t="s">
        <v>27</v>
      </c>
      <c r="C21" t="s">
        <v>24</v>
      </c>
    </row>
    <row r="22" spans="1:3" x14ac:dyDescent="0.25">
      <c r="A22" s="30" t="str">
        <f t="shared" si="0"/>
        <v>BG GR</v>
      </c>
      <c r="B22" t="s">
        <v>12</v>
      </c>
      <c r="C22" t="s">
        <v>17</v>
      </c>
    </row>
    <row r="23" spans="1:3" x14ac:dyDescent="0.25">
      <c r="A23" s="30" t="str">
        <f t="shared" si="0"/>
        <v>BG MK</v>
      </c>
      <c r="B23" t="s">
        <v>12</v>
      </c>
      <c r="C23" t="s">
        <v>39</v>
      </c>
    </row>
    <row r="24" spans="1:3" x14ac:dyDescent="0.25">
      <c r="A24" s="30" t="str">
        <f t="shared" si="0"/>
        <v>BG RO</v>
      </c>
      <c r="B24" t="s">
        <v>12</v>
      </c>
      <c r="C24" t="s">
        <v>23</v>
      </c>
    </row>
    <row r="25" spans="1:3" x14ac:dyDescent="0.25">
      <c r="A25" s="30" t="str">
        <f t="shared" si="0"/>
        <v>BG RS</v>
      </c>
      <c r="B25" t="s">
        <v>12</v>
      </c>
      <c r="C25" t="s">
        <v>43</v>
      </c>
    </row>
    <row r="26" spans="1:3" x14ac:dyDescent="0.25">
      <c r="A26" s="30" t="str">
        <f t="shared" si="0"/>
        <v>BG TR</v>
      </c>
      <c r="B26" t="s">
        <v>12</v>
      </c>
      <c r="C26" t="s">
        <v>47</v>
      </c>
    </row>
    <row r="27" spans="1:3" x14ac:dyDescent="0.25">
      <c r="A27" s="30" t="str">
        <f t="shared" si="0"/>
        <v>CH AT</v>
      </c>
      <c r="B27" t="s">
        <v>28</v>
      </c>
      <c r="C27" t="s">
        <v>25</v>
      </c>
    </row>
    <row r="28" spans="1:3" x14ac:dyDescent="0.25">
      <c r="A28" s="30" t="str">
        <f t="shared" si="0"/>
        <v>CH DE</v>
      </c>
      <c r="B28" t="s">
        <v>28</v>
      </c>
      <c r="C28" t="s">
        <v>13</v>
      </c>
    </row>
    <row r="29" spans="1:3" x14ac:dyDescent="0.25">
      <c r="A29" s="30" t="str">
        <f t="shared" si="0"/>
        <v>CH FR</v>
      </c>
      <c r="B29" t="s">
        <v>28</v>
      </c>
      <c r="C29" t="s">
        <v>16</v>
      </c>
    </row>
    <row r="30" spans="1:3" x14ac:dyDescent="0.25">
      <c r="A30" s="30" t="str">
        <f t="shared" si="0"/>
        <v>CH IT</v>
      </c>
      <c r="B30" t="s">
        <v>28</v>
      </c>
      <c r="C30" t="s">
        <v>20</v>
      </c>
    </row>
    <row r="31" spans="1:3" x14ac:dyDescent="0.25">
      <c r="A31" s="30" t="str">
        <f t="shared" si="0"/>
        <v>CY GR</v>
      </c>
      <c r="B31" t="s">
        <v>29</v>
      </c>
      <c r="C31" t="s">
        <v>17</v>
      </c>
    </row>
    <row r="32" spans="1:3" x14ac:dyDescent="0.25">
      <c r="A32" s="30" t="str">
        <f t="shared" si="0"/>
        <v>CY TR</v>
      </c>
      <c r="B32" t="s">
        <v>29</v>
      </c>
      <c r="C32" t="s">
        <v>47</v>
      </c>
    </row>
    <row r="33" spans="1:3" x14ac:dyDescent="0.25">
      <c r="A33" s="30" t="str">
        <f t="shared" si="0"/>
        <v>CZ AT</v>
      </c>
      <c r="B33" t="s">
        <v>30</v>
      </c>
      <c r="C33" t="s">
        <v>25</v>
      </c>
    </row>
    <row r="34" spans="1:3" x14ac:dyDescent="0.25">
      <c r="A34" s="30" t="str">
        <f t="shared" si="0"/>
        <v>CZ DE</v>
      </c>
      <c r="B34" t="s">
        <v>30</v>
      </c>
      <c r="C34" t="s">
        <v>13</v>
      </c>
    </row>
    <row r="35" spans="1:3" x14ac:dyDescent="0.25">
      <c r="A35" s="30" t="str">
        <f t="shared" si="0"/>
        <v>CZ PL</v>
      </c>
      <c r="B35" t="s">
        <v>30</v>
      </c>
      <c r="C35" t="s">
        <v>41</v>
      </c>
    </row>
    <row r="36" spans="1:3" x14ac:dyDescent="0.25">
      <c r="A36" s="30" t="str">
        <f t="shared" si="0"/>
        <v>CZ SK</v>
      </c>
      <c r="B36" t="s">
        <v>30</v>
      </c>
      <c r="C36" t="s">
        <v>46</v>
      </c>
    </row>
    <row r="37" spans="1:3" x14ac:dyDescent="0.25">
      <c r="A37" s="30" t="str">
        <f t="shared" si="0"/>
        <v>DE AT</v>
      </c>
      <c r="B37" t="s">
        <v>13</v>
      </c>
      <c r="C37" t="s">
        <v>25</v>
      </c>
    </row>
    <row r="38" spans="1:3" x14ac:dyDescent="0.25">
      <c r="A38" s="30" t="str">
        <f t="shared" si="0"/>
        <v>DE BE</v>
      </c>
      <c r="B38" t="s">
        <v>13</v>
      </c>
      <c r="C38" t="s">
        <v>27</v>
      </c>
    </row>
    <row r="39" spans="1:3" x14ac:dyDescent="0.25">
      <c r="A39" s="30" t="str">
        <f t="shared" si="0"/>
        <v>DE CH</v>
      </c>
      <c r="B39" t="s">
        <v>13</v>
      </c>
      <c r="C39" t="s">
        <v>28</v>
      </c>
    </row>
    <row r="40" spans="1:3" x14ac:dyDescent="0.25">
      <c r="A40" s="30" t="str">
        <f t="shared" si="0"/>
        <v>DE CZ</v>
      </c>
      <c r="B40" t="s">
        <v>13</v>
      </c>
      <c r="C40" t="s">
        <v>30</v>
      </c>
    </row>
    <row r="41" spans="1:3" x14ac:dyDescent="0.25">
      <c r="A41" s="30" t="str">
        <f t="shared" si="0"/>
        <v>DE DK</v>
      </c>
      <c r="B41" t="s">
        <v>13</v>
      </c>
      <c r="C41" t="s">
        <v>14</v>
      </c>
    </row>
    <row r="42" spans="1:3" x14ac:dyDescent="0.25">
      <c r="A42" s="30" t="str">
        <f t="shared" si="0"/>
        <v>DE FR</v>
      </c>
      <c r="B42" t="s">
        <v>13</v>
      </c>
      <c r="C42" t="s">
        <v>16</v>
      </c>
    </row>
    <row r="43" spans="1:3" x14ac:dyDescent="0.25">
      <c r="A43" s="30" t="str">
        <f t="shared" si="0"/>
        <v>DE LU</v>
      </c>
      <c r="B43" t="s">
        <v>13</v>
      </c>
      <c r="C43" t="s">
        <v>35</v>
      </c>
    </row>
    <row r="44" spans="1:3" x14ac:dyDescent="0.25">
      <c r="A44" s="30" t="str">
        <f t="shared" si="0"/>
        <v>DE NL</v>
      </c>
      <c r="B44" t="s">
        <v>13</v>
      </c>
      <c r="C44" t="s">
        <v>21</v>
      </c>
    </row>
    <row r="45" spans="1:3" x14ac:dyDescent="0.25">
      <c r="A45" s="30" t="str">
        <f t="shared" si="0"/>
        <v>DE PL</v>
      </c>
      <c r="B45" t="s">
        <v>13</v>
      </c>
      <c r="C45" t="s">
        <v>41</v>
      </c>
    </row>
    <row r="46" spans="1:3" x14ac:dyDescent="0.25">
      <c r="A46" s="30" t="str">
        <f t="shared" si="0"/>
        <v>DE SE</v>
      </c>
      <c r="B46" t="s">
        <v>13</v>
      </c>
      <c r="C46" t="s">
        <v>44</v>
      </c>
    </row>
    <row r="47" spans="1:3" x14ac:dyDescent="0.25">
      <c r="A47" s="30" t="str">
        <f t="shared" si="0"/>
        <v>DK DE</v>
      </c>
      <c r="B47" t="s">
        <v>14</v>
      </c>
      <c r="C47" t="s">
        <v>13</v>
      </c>
    </row>
    <row r="48" spans="1:3" x14ac:dyDescent="0.25">
      <c r="A48" s="30" t="str">
        <f t="shared" si="0"/>
        <v>DK NO</v>
      </c>
      <c r="B48" t="s">
        <v>14</v>
      </c>
      <c r="C48" t="s">
        <v>22</v>
      </c>
    </row>
    <row r="49" spans="1:3" x14ac:dyDescent="0.25">
      <c r="A49" s="30" t="str">
        <f t="shared" si="0"/>
        <v>DK SE</v>
      </c>
      <c r="B49" t="s">
        <v>14</v>
      </c>
      <c r="C49" t="s">
        <v>44</v>
      </c>
    </row>
    <row r="50" spans="1:3" x14ac:dyDescent="0.25">
      <c r="A50" s="30" t="str">
        <f t="shared" si="0"/>
        <v>DK UK</v>
      </c>
      <c r="B50" t="s">
        <v>14</v>
      </c>
      <c r="C50" t="s">
        <v>24</v>
      </c>
    </row>
    <row r="51" spans="1:3" x14ac:dyDescent="0.25">
      <c r="A51" s="30" t="str">
        <f t="shared" si="0"/>
        <v>EE FI</v>
      </c>
      <c r="B51" t="s">
        <v>31</v>
      </c>
      <c r="C51" t="s">
        <v>32</v>
      </c>
    </row>
    <row r="52" spans="1:3" x14ac:dyDescent="0.25">
      <c r="A52" s="30" t="str">
        <f t="shared" si="0"/>
        <v>EE LV</v>
      </c>
      <c r="B52" t="s">
        <v>31</v>
      </c>
      <c r="C52" t="s">
        <v>36</v>
      </c>
    </row>
    <row r="53" spans="1:3" x14ac:dyDescent="0.25">
      <c r="A53" s="30" t="str">
        <f t="shared" si="0"/>
        <v>EE SE</v>
      </c>
      <c r="B53" t="s">
        <v>31</v>
      </c>
      <c r="C53" t="s">
        <v>44</v>
      </c>
    </row>
    <row r="54" spans="1:3" x14ac:dyDescent="0.25">
      <c r="A54" s="30" t="str">
        <f t="shared" si="0"/>
        <v>ES FR</v>
      </c>
      <c r="B54" t="s">
        <v>15</v>
      </c>
      <c r="C54" t="s">
        <v>16</v>
      </c>
    </row>
    <row r="55" spans="1:3" x14ac:dyDescent="0.25">
      <c r="A55" s="30" t="str">
        <f t="shared" si="0"/>
        <v>ES IE</v>
      </c>
      <c r="B55" t="s">
        <v>15</v>
      </c>
      <c r="C55" t="s">
        <v>19</v>
      </c>
    </row>
    <row r="56" spans="1:3" x14ac:dyDescent="0.25">
      <c r="A56" s="30" t="str">
        <f t="shared" si="0"/>
        <v>ES IT</v>
      </c>
      <c r="B56" t="s">
        <v>15</v>
      </c>
      <c r="C56" t="s">
        <v>20</v>
      </c>
    </row>
    <row r="57" spans="1:3" x14ac:dyDescent="0.25">
      <c r="A57" s="30" t="str">
        <f t="shared" si="0"/>
        <v>ES MT</v>
      </c>
      <c r="B57" t="s">
        <v>15</v>
      </c>
      <c r="C57" t="s">
        <v>40</v>
      </c>
    </row>
    <row r="58" spans="1:3" x14ac:dyDescent="0.25">
      <c r="A58" s="30" t="str">
        <f t="shared" si="0"/>
        <v>ES PT</v>
      </c>
      <c r="B58" t="s">
        <v>15</v>
      </c>
      <c r="C58" t="s">
        <v>42</v>
      </c>
    </row>
    <row r="59" spans="1:3" x14ac:dyDescent="0.25">
      <c r="A59" s="30" t="str">
        <f t="shared" si="0"/>
        <v>ES UK</v>
      </c>
      <c r="B59" t="s">
        <v>15</v>
      </c>
      <c r="C59" t="s">
        <v>24</v>
      </c>
    </row>
    <row r="60" spans="1:3" x14ac:dyDescent="0.25">
      <c r="A60" s="30" t="str">
        <f t="shared" si="0"/>
        <v>FI EE</v>
      </c>
      <c r="B60" t="s">
        <v>32</v>
      </c>
      <c r="C60" t="s">
        <v>31</v>
      </c>
    </row>
    <row r="61" spans="1:3" x14ac:dyDescent="0.25">
      <c r="A61" s="30" t="str">
        <f t="shared" si="0"/>
        <v>FI NO</v>
      </c>
      <c r="B61" t="s">
        <v>32</v>
      </c>
      <c r="C61" t="s">
        <v>22</v>
      </c>
    </row>
    <row r="62" spans="1:3" x14ac:dyDescent="0.25">
      <c r="A62" s="30" t="str">
        <f t="shared" si="0"/>
        <v>FI SE</v>
      </c>
      <c r="B62" t="s">
        <v>32</v>
      </c>
      <c r="C62" t="s">
        <v>44</v>
      </c>
    </row>
    <row r="63" spans="1:3" x14ac:dyDescent="0.25">
      <c r="A63" s="30" t="str">
        <f t="shared" si="0"/>
        <v>FR BE</v>
      </c>
      <c r="B63" t="s">
        <v>16</v>
      </c>
      <c r="C63" t="s">
        <v>27</v>
      </c>
    </row>
    <row r="64" spans="1:3" x14ac:dyDescent="0.25">
      <c r="A64" s="30" t="str">
        <f t="shared" si="0"/>
        <v>FR CH</v>
      </c>
      <c r="B64" t="s">
        <v>16</v>
      </c>
      <c r="C64" t="s">
        <v>28</v>
      </c>
    </row>
    <row r="65" spans="1:3" x14ac:dyDescent="0.25">
      <c r="A65" s="30" t="str">
        <f t="shared" si="0"/>
        <v>FR DE</v>
      </c>
      <c r="B65" t="s">
        <v>16</v>
      </c>
      <c r="C65" t="s">
        <v>13</v>
      </c>
    </row>
    <row r="66" spans="1:3" x14ac:dyDescent="0.25">
      <c r="A66" s="30" t="str">
        <f t="shared" si="0"/>
        <v>FR ES</v>
      </c>
      <c r="B66" t="s">
        <v>16</v>
      </c>
      <c r="C66" t="s">
        <v>15</v>
      </c>
    </row>
    <row r="67" spans="1:3" x14ac:dyDescent="0.25">
      <c r="A67" s="30" t="str">
        <f t="shared" si="0"/>
        <v>FR IE</v>
      </c>
      <c r="B67" t="s">
        <v>16</v>
      </c>
      <c r="C67" t="s">
        <v>19</v>
      </c>
    </row>
    <row r="68" spans="1:3" x14ac:dyDescent="0.25">
      <c r="A68" s="30" t="str">
        <f t="shared" ref="A68:A131" si="1">B68&amp;" "&amp;C68</f>
        <v>FR IT</v>
      </c>
      <c r="B68" t="s">
        <v>16</v>
      </c>
      <c r="C68" t="s">
        <v>20</v>
      </c>
    </row>
    <row r="69" spans="1:3" x14ac:dyDescent="0.25">
      <c r="A69" s="30" t="str">
        <f t="shared" si="1"/>
        <v>FR LU</v>
      </c>
      <c r="B69" t="s">
        <v>16</v>
      </c>
      <c r="C69" t="s">
        <v>35</v>
      </c>
    </row>
    <row r="70" spans="1:3" x14ac:dyDescent="0.25">
      <c r="A70" s="30" t="str">
        <f t="shared" si="1"/>
        <v>FR NO</v>
      </c>
      <c r="B70" t="s">
        <v>16</v>
      </c>
      <c r="C70" t="s">
        <v>22</v>
      </c>
    </row>
    <row r="71" spans="1:3" x14ac:dyDescent="0.25">
      <c r="A71" s="30" t="str">
        <f t="shared" si="1"/>
        <v>FR UK</v>
      </c>
      <c r="B71" t="s">
        <v>16</v>
      </c>
      <c r="C71" t="s">
        <v>24</v>
      </c>
    </row>
    <row r="72" spans="1:3" x14ac:dyDescent="0.25">
      <c r="A72" s="30" t="str">
        <f t="shared" si="1"/>
        <v>GR AL</v>
      </c>
      <c r="B72" t="s">
        <v>17</v>
      </c>
      <c r="C72" t="s">
        <v>11</v>
      </c>
    </row>
    <row r="73" spans="1:3" x14ac:dyDescent="0.25">
      <c r="A73" s="30" t="str">
        <f t="shared" si="1"/>
        <v>GR BG</v>
      </c>
      <c r="B73" t="s">
        <v>17</v>
      </c>
      <c r="C73" t="s">
        <v>12</v>
      </c>
    </row>
    <row r="74" spans="1:3" x14ac:dyDescent="0.25">
      <c r="A74" s="30" t="str">
        <f t="shared" si="1"/>
        <v>GR CY</v>
      </c>
      <c r="B74" t="s">
        <v>17</v>
      </c>
      <c r="C74" t="s">
        <v>29</v>
      </c>
    </row>
    <row r="75" spans="1:3" x14ac:dyDescent="0.25">
      <c r="A75" s="30" t="str">
        <f t="shared" si="1"/>
        <v>GR IT</v>
      </c>
      <c r="B75" t="s">
        <v>17</v>
      </c>
      <c r="C75" t="s">
        <v>20</v>
      </c>
    </row>
    <row r="76" spans="1:3" x14ac:dyDescent="0.25">
      <c r="A76" s="30" t="str">
        <f t="shared" si="1"/>
        <v>GR MK</v>
      </c>
      <c r="B76" t="s">
        <v>17</v>
      </c>
      <c r="C76" t="s">
        <v>39</v>
      </c>
    </row>
    <row r="77" spans="1:3" x14ac:dyDescent="0.25">
      <c r="A77" s="30" t="str">
        <f t="shared" si="1"/>
        <v>GR MT</v>
      </c>
      <c r="B77" t="s">
        <v>17</v>
      </c>
      <c r="C77" t="s">
        <v>40</v>
      </c>
    </row>
    <row r="78" spans="1:3" x14ac:dyDescent="0.25">
      <c r="A78" s="30" t="str">
        <f t="shared" si="1"/>
        <v>GR TR</v>
      </c>
      <c r="B78" t="s">
        <v>17</v>
      </c>
      <c r="C78" t="s">
        <v>47</v>
      </c>
    </row>
    <row r="79" spans="1:3" x14ac:dyDescent="0.25">
      <c r="A79" s="30" t="str">
        <f t="shared" si="1"/>
        <v>HR BA</v>
      </c>
      <c r="B79" t="s">
        <v>18</v>
      </c>
      <c r="C79" t="s">
        <v>26</v>
      </c>
    </row>
    <row r="80" spans="1:3" x14ac:dyDescent="0.25">
      <c r="A80" s="30" t="str">
        <f t="shared" si="1"/>
        <v>HR IT</v>
      </c>
      <c r="B80" t="s">
        <v>18</v>
      </c>
      <c r="C80" t="s">
        <v>20</v>
      </c>
    </row>
    <row r="81" spans="1:3" x14ac:dyDescent="0.25">
      <c r="A81" s="30" t="str">
        <f t="shared" si="1"/>
        <v>HR ME</v>
      </c>
      <c r="B81" t="s">
        <v>18</v>
      </c>
      <c r="C81" t="s">
        <v>38</v>
      </c>
    </row>
    <row r="82" spans="1:3" x14ac:dyDescent="0.25">
      <c r="A82" s="30" t="str">
        <f t="shared" si="1"/>
        <v>HR RS</v>
      </c>
      <c r="B82" t="s">
        <v>18</v>
      </c>
      <c r="C82" t="s">
        <v>43</v>
      </c>
    </row>
    <row r="83" spans="1:3" x14ac:dyDescent="0.25">
      <c r="A83" s="30" t="str">
        <f t="shared" si="1"/>
        <v>HR SI</v>
      </c>
      <c r="B83" t="s">
        <v>18</v>
      </c>
      <c r="C83" t="s">
        <v>45</v>
      </c>
    </row>
    <row r="84" spans="1:3" x14ac:dyDescent="0.25">
      <c r="A84" s="30" t="str">
        <f t="shared" si="1"/>
        <v>HU AT</v>
      </c>
      <c r="B84" t="s">
        <v>33</v>
      </c>
      <c r="C84" t="s">
        <v>25</v>
      </c>
    </row>
    <row r="85" spans="1:3" x14ac:dyDescent="0.25">
      <c r="A85" s="30" t="str">
        <f t="shared" si="1"/>
        <v>HU RO</v>
      </c>
      <c r="B85" t="s">
        <v>33</v>
      </c>
      <c r="C85" t="s">
        <v>23</v>
      </c>
    </row>
    <row r="86" spans="1:3" x14ac:dyDescent="0.25">
      <c r="A86" s="30" t="str">
        <f t="shared" si="1"/>
        <v>HU RS</v>
      </c>
      <c r="B86" t="s">
        <v>33</v>
      </c>
      <c r="C86" t="s">
        <v>43</v>
      </c>
    </row>
    <row r="87" spans="1:3" x14ac:dyDescent="0.25">
      <c r="A87" s="30" t="str">
        <f t="shared" si="1"/>
        <v>HU SI</v>
      </c>
      <c r="B87" t="s">
        <v>33</v>
      </c>
      <c r="C87" t="s">
        <v>45</v>
      </c>
    </row>
    <row r="88" spans="1:3" x14ac:dyDescent="0.25">
      <c r="A88" s="30" t="str">
        <f t="shared" si="1"/>
        <v>HU SK</v>
      </c>
      <c r="B88" t="s">
        <v>33</v>
      </c>
      <c r="C88" t="s">
        <v>46</v>
      </c>
    </row>
    <row r="89" spans="1:3" x14ac:dyDescent="0.25">
      <c r="A89" s="30" t="str">
        <f t="shared" si="1"/>
        <v>IE ES</v>
      </c>
      <c r="B89" t="s">
        <v>19</v>
      </c>
      <c r="C89" t="s">
        <v>15</v>
      </c>
    </row>
    <row r="90" spans="1:3" x14ac:dyDescent="0.25">
      <c r="A90" s="30" t="str">
        <f t="shared" si="1"/>
        <v>IE FR</v>
      </c>
      <c r="B90" t="s">
        <v>19</v>
      </c>
      <c r="C90" t="s">
        <v>16</v>
      </c>
    </row>
    <row r="91" spans="1:3" x14ac:dyDescent="0.25">
      <c r="A91" s="30" t="str">
        <f t="shared" si="1"/>
        <v>IE UK</v>
      </c>
      <c r="B91" t="s">
        <v>19</v>
      </c>
      <c r="C91" t="s">
        <v>24</v>
      </c>
    </row>
    <row r="92" spans="1:3" x14ac:dyDescent="0.25">
      <c r="A92" s="30" t="str">
        <f t="shared" si="1"/>
        <v>IT AT</v>
      </c>
      <c r="B92" t="s">
        <v>20</v>
      </c>
      <c r="C92" t="s">
        <v>25</v>
      </c>
    </row>
    <row r="93" spans="1:3" x14ac:dyDescent="0.25">
      <c r="A93" s="30" t="str">
        <f t="shared" si="1"/>
        <v>IT CH</v>
      </c>
      <c r="B93" t="s">
        <v>20</v>
      </c>
      <c r="C93" t="s">
        <v>28</v>
      </c>
    </row>
    <row r="94" spans="1:3" x14ac:dyDescent="0.25">
      <c r="A94" s="30" t="str">
        <f t="shared" si="1"/>
        <v>IT ES</v>
      </c>
      <c r="B94" t="s">
        <v>20</v>
      </c>
      <c r="C94" t="s">
        <v>15</v>
      </c>
    </row>
    <row r="95" spans="1:3" x14ac:dyDescent="0.25">
      <c r="A95" s="30" t="str">
        <f t="shared" si="1"/>
        <v>IT FR</v>
      </c>
      <c r="B95" t="s">
        <v>20</v>
      </c>
      <c r="C95" t="s">
        <v>16</v>
      </c>
    </row>
    <row r="96" spans="1:3" x14ac:dyDescent="0.25">
      <c r="A96" s="30" t="str">
        <f t="shared" si="1"/>
        <v>IT GR</v>
      </c>
      <c r="B96" t="s">
        <v>20</v>
      </c>
      <c r="C96" t="s">
        <v>17</v>
      </c>
    </row>
    <row r="97" spans="1:3" x14ac:dyDescent="0.25">
      <c r="A97" s="30" t="str">
        <f t="shared" si="1"/>
        <v>IT HR</v>
      </c>
      <c r="B97" t="s">
        <v>20</v>
      </c>
      <c r="C97" t="s">
        <v>18</v>
      </c>
    </row>
    <row r="98" spans="1:3" x14ac:dyDescent="0.25">
      <c r="A98" s="30" t="str">
        <f t="shared" si="1"/>
        <v>IT ME</v>
      </c>
      <c r="B98" t="s">
        <v>20</v>
      </c>
      <c r="C98" t="s">
        <v>38</v>
      </c>
    </row>
    <row r="99" spans="1:3" x14ac:dyDescent="0.25">
      <c r="A99" s="30" t="str">
        <f t="shared" si="1"/>
        <v>IT MT</v>
      </c>
      <c r="B99" t="s">
        <v>20</v>
      </c>
      <c r="C99" t="s">
        <v>40</v>
      </c>
    </row>
    <row r="100" spans="1:3" x14ac:dyDescent="0.25">
      <c r="A100" s="30" t="str">
        <f t="shared" si="1"/>
        <v>LT LV</v>
      </c>
      <c r="B100" t="s">
        <v>34</v>
      </c>
      <c r="C100" t="s">
        <v>36</v>
      </c>
    </row>
    <row r="101" spans="1:3" x14ac:dyDescent="0.25">
      <c r="A101" s="30" t="str">
        <f t="shared" si="1"/>
        <v>LT PL</v>
      </c>
      <c r="B101" t="s">
        <v>34</v>
      </c>
      <c r="C101" t="s">
        <v>41</v>
      </c>
    </row>
    <row r="102" spans="1:3" x14ac:dyDescent="0.25">
      <c r="A102" s="30" t="str">
        <f t="shared" si="1"/>
        <v>LT SE</v>
      </c>
      <c r="B102" t="s">
        <v>34</v>
      </c>
      <c r="C102" t="s">
        <v>44</v>
      </c>
    </row>
    <row r="103" spans="1:3" x14ac:dyDescent="0.25">
      <c r="A103" s="30" t="str">
        <f t="shared" si="1"/>
        <v>LT UA</v>
      </c>
      <c r="B103" t="s">
        <v>34</v>
      </c>
      <c r="C103" t="s">
        <v>48</v>
      </c>
    </row>
    <row r="104" spans="1:3" x14ac:dyDescent="0.25">
      <c r="A104" s="30" t="str">
        <f t="shared" si="1"/>
        <v>LU BE</v>
      </c>
      <c r="B104" t="s">
        <v>35</v>
      </c>
      <c r="C104" t="s">
        <v>27</v>
      </c>
    </row>
    <row r="105" spans="1:3" x14ac:dyDescent="0.25">
      <c r="A105" s="30" t="str">
        <f t="shared" si="1"/>
        <v>LU DE</v>
      </c>
      <c r="B105" t="s">
        <v>35</v>
      </c>
      <c r="C105" t="s">
        <v>13</v>
      </c>
    </row>
    <row r="106" spans="1:3" x14ac:dyDescent="0.25">
      <c r="A106" s="30" t="str">
        <f t="shared" si="1"/>
        <v>LU FR</v>
      </c>
      <c r="B106" t="s">
        <v>35</v>
      </c>
      <c r="C106" t="s">
        <v>16</v>
      </c>
    </row>
    <row r="107" spans="1:3" x14ac:dyDescent="0.25">
      <c r="A107" s="30" t="str">
        <f t="shared" si="1"/>
        <v>LV EE</v>
      </c>
      <c r="B107" t="s">
        <v>36</v>
      </c>
      <c r="C107" t="s">
        <v>31</v>
      </c>
    </row>
    <row r="108" spans="1:3" x14ac:dyDescent="0.25">
      <c r="A108" s="30" t="str">
        <f t="shared" si="1"/>
        <v>LV LT</v>
      </c>
      <c r="B108" t="s">
        <v>36</v>
      </c>
      <c r="C108" t="s">
        <v>34</v>
      </c>
    </row>
    <row r="109" spans="1:3" x14ac:dyDescent="0.25">
      <c r="A109" s="30" t="str">
        <f t="shared" si="1"/>
        <v>LV SE</v>
      </c>
      <c r="B109" t="s">
        <v>36</v>
      </c>
      <c r="C109" t="s">
        <v>44</v>
      </c>
    </row>
    <row r="110" spans="1:3" x14ac:dyDescent="0.25">
      <c r="A110" s="30" t="str">
        <f t="shared" si="1"/>
        <v>MD RO</v>
      </c>
      <c r="B110" t="s">
        <v>37</v>
      </c>
      <c r="C110" t="s">
        <v>23</v>
      </c>
    </row>
    <row r="111" spans="1:3" x14ac:dyDescent="0.25">
      <c r="A111" s="30" t="str">
        <f t="shared" si="1"/>
        <v>MD UA</v>
      </c>
      <c r="B111" t="s">
        <v>37</v>
      </c>
      <c r="C111" t="s">
        <v>48</v>
      </c>
    </row>
    <row r="112" spans="1:3" x14ac:dyDescent="0.25">
      <c r="A112" s="30" t="str">
        <f t="shared" si="1"/>
        <v>ME AL</v>
      </c>
      <c r="B112" t="s">
        <v>38</v>
      </c>
      <c r="C112" t="s">
        <v>11</v>
      </c>
    </row>
    <row r="113" spans="1:3" x14ac:dyDescent="0.25">
      <c r="A113" s="30" t="str">
        <f t="shared" si="1"/>
        <v>ME BA</v>
      </c>
      <c r="B113" t="s">
        <v>38</v>
      </c>
      <c r="C113" t="s">
        <v>26</v>
      </c>
    </row>
    <row r="114" spans="1:3" x14ac:dyDescent="0.25">
      <c r="A114" s="30" t="str">
        <f t="shared" si="1"/>
        <v>ME HR</v>
      </c>
      <c r="B114" t="s">
        <v>38</v>
      </c>
      <c r="C114" t="s">
        <v>18</v>
      </c>
    </row>
    <row r="115" spans="1:3" x14ac:dyDescent="0.25">
      <c r="A115" s="30" t="str">
        <f t="shared" si="1"/>
        <v>ME IT</v>
      </c>
      <c r="B115" t="s">
        <v>38</v>
      </c>
      <c r="C115" t="s">
        <v>20</v>
      </c>
    </row>
    <row r="116" spans="1:3" x14ac:dyDescent="0.25">
      <c r="A116" s="30" t="str">
        <f t="shared" si="1"/>
        <v>ME RS</v>
      </c>
      <c r="B116" t="s">
        <v>38</v>
      </c>
      <c r="C116" t="s">
        <v>43</v>
      </c>
    </row>
    <row r="117" spans="1:3" x14ac:dyDescent="0.25">
      <c r="A117" s="30" t="str">
        <f t="shared" si="1"/>
        <v>ME XK</v>
      </c>
      <c r="B117" t="s">
        <v>38</v>
      </c>
      <c r="C117" t="s">
        <v>49</v>
      </c>
    </row>
    <row r="118" spans="1:3" x14ac:dyDescent="0.25">
      <c r="A118" s="30" t="str">
        <f t="shared" si="1"/>
        <v>MK AL</v>
      </c>
      <c r="B118" t="s">
        <v>39</v>
      </c>
      <c r="C118" t="s">
        <v>11</v>
      </c>
    </row>
    <row r="119" spans="1:3" x14ac:dyDescent="0.25">
      <c r="A119" s="30" t="str">
        <f t="shared" si="1"/>
        <v>MK BG</v>
      </c>
      <c r="B119" t="s">
        <v>39</v>
      </c>
      <c r="C119" t="s">
        <v>12</v>
      </c>
    </row>
    <row r="120" spans="1:3" x14ac:dyDescent="0.25">
      <c r="A120" s="30" t="str">
        <f t="shared" si="1"/>
        <v>MK GR</v>
      </c>
      <c r="B120" t="s">
        <v>39</v>
      </c>
      <c r="C120" t="s">
        <v>17</v>
      </c>
    </row>
    <row r="121" spans="1:3" x14ac:dyDescent="0.25">
      <c r="A121" s="30" t="str">
        <f t="shared" si="1"/>
        <v>MK RS</v>
      </c>
      <c r="B121" t="s">
        <v>39</v>
      </c>
      <c r="C121" t="s">
        <v>43</v>
      </c>
    </row>
    <row r="122" spans="1:3" x14ac:dyDescent="0.25">
      <c r="A122" s="30" t="str">
        <f t="shared" si="1"/>
        <v>MK XK</v>
      </c>
      <c r="B122" t="s">
        <v>39</v>
      </c>
      <c r="C122" t="s">
        <v>49</v>
      </c>
    </row>
    <row r="123" spans="1:3" x14ac:dyDescent="0.25">
      <c r="A123" s="30" t="str">
        <f t="shared" si="1"/>
        <v>MT ES</v>
      </c>
      <c r="B123" t="s">
        <v>40</v>
      </c>
      <c r="C123" t="s">
        <v>15</v>
      </c>
    </row>
    <row r="124" spans="1:3" x14ac:dyDescent="0.25">
      <c r="A124" s="30" t="str">
        <f t="shared" si="1"/>
        <v>MT GR</v>
      </c>
      <c r="B124" t="s">
        <v>40</v>
      </c>
      <c r="C124" t="s">
        <v>17</v>
      </c>
    </row>
    <row r="125" spans="1:3" x14ac:dyDescent="0.25">
      <c r="A125" s="30" t="str">
        <f t="shared" si="1"/>
        <v>MT IT</v>
      </c>
      <c r="B125" t="s">
        <v>40</v>
      </c>
      <c r="C125" t="s">
        <v>20</v>
      </c>
    </row>
    <row r="126" spans="1:3" x14ac:dyDescent="0.25">
      <c r="A126" s="30" t="str">
        <f t="shared" si="1"/>
        <v>NL BE</v>
      </c>
      <c r="B126" t="s">
        <v>21</v>
      </c>
      <c r="C126" t="s">
        <v>27</v>
      </c>
    </row>
    <row r="127" spans="1:3" x14ac:dyDescent="0.25">
      <c r="A127" s="30" t="str">
        <f t="shared" si="1"/>
        <v>NL DE</v>
      </c>
      <c r="B127" t="s">
        <v>21</v>
      </c>
      <c r="C127" t="s">
        <v>13</v>
      </c>
    </row>
    <row r="128" spans="1:3" x14ac:dyDescent="0.25">
      <c r="A128" s="30" t="str">
        <f t="shared" si="1"/>
        <v>NL NO</v>
      </c>
      <c r="B128" t="s">
        <v>21</v>
      </c>
      <c r="C128" t="s">
        <v>22</v>
      </c>
    </row>
    <row r="129" spans="1:3" x14ac:dyDescent="0.25">
      <c r="A129" s="30" t="str">
        <f t="shared" si="1"/>
        <v>NL UK</v>
      </c>
      <c r="B129" t="s">
        <v>21</v>
      </c>
      <c r="C129" t="s">
        <v>24</v>
      </c>
    </row>
    <row r="130" spans="1:3" x14ac:dyDescent="0.25">
      <c r="A130" s="30" t="str">
        <f t="shared" si="1"/>
        <v>NO DK</v>
      </c>
      <c r="B130" t="s">
        <v>22</v>
      </c>
      <c r="C130" t="s">
        <v>14</v>
      </c>
    </row>
    <row r="131" spans="1:3" x14ac:dyDescent="0.25">
      <c r="A131" s="30" t="str">
        <f t="shared" si="1"/>
        <v>NO FI</v>
      </c>
      <c r="B131" t="s">
        <v>22</v>
      </c>
      <c r="C131" t="s">
        <v>32</v>
      </c>
    </row>
    <row r="132" spans="1:3" x14ac:dyDescent="0.25">
      <c r="A132" s="30" t="str">
        <f t="shared" ref="A132:A190" si="2">B132&amp;" "&amp;C132</f>
        <v>NO FR</v>
      </c>
      <c r="B132" t="s">
        <v>22</v>
      </c>
      <c r="C132" t="s">
        <v>16</v>
      </c>
    </row>
    <row r="133" spans="1:3" x14ac:dyDescent="0.25">
      <c r="A133" s="30" t="str">
        <f t="shared" si="2"/>
        <v>NO NL</v>
      </c>
      <c r="B133" t="s">
        <v>22</v>
      </c>
      <c r="C133" t="s">
        <v>21</v>
      </c>
    </row>
    <row r="134" spans="1:3" x14ac:dyDescent="0.25">
      <c r="A134" s="30" t="str">
        <f t="shared" si="2"/>
        <v>NO SE</v>
      </c>
      <c r="B134" t="s">
        <v>22</v>
      </c>
      <c r="C134" t="s">
        <v>44</v>
      </c>
    </row>
    <row r="135" spans="1:3" x14ac:dyDescent="0.25">
      <c r="A135" s="30" t="str">
        <f t="shared" si="2"/>
        <v>NO UK</v>
      </c>
      <c r="B135" t="s">
        <v>22</v>
      </c>
      <c r="C135" t="s">
        <v>24</v>
      </c>
    </row>
    <row r="136" spans="1:3" x14ac:dyDescent="0.25">
      <c r="A136" s="30" t="str">
        <f t="shared" si="2"/>
        <v>PL CZ</v>
      </c>
      <c r="B136" t="s">
        <v>41</v>
      </c>
      <c r="C136" t="s">
        <v>30</v>
      </c>
    </row>
    <row r="137" spans="1:3" x14ac:dyDescent="0.25">
      <c r="A137" s="30" t="str">
        <f t="shared" si="2"/>
        <v>PL DE</v>
      </c>
      <c r="B137" t="s">
        <v>41</v>
      </c>
      <c r="C137" t="s">
        <v>13</v>
      </c>
    </row>
    <row r="138" spans="1:3" x14ac:dyDescent="0.25">
      <c r="A138" s="30" t="str">
        <f t="shared" si="2"/>
        <v>PL LT</v>
      </c>
      <c r="B138" t="s">
        <v>41</v>
      </c>
      <c r="C138" t="s">
        <v>34</v>
      </c>
    </row>
    <row r="139" spans="1:3" x14ac:dyDescent="0.25">
      <c r="A139" s="30" t="str">
        <f t="shared" si="2"/>
        <v>PL SE</v>
      </c>
      <c r="B139" t="s">
        <v>41</v>
      </c>
      <c r="C139" t="s">
        <v>44</v>
      </c>
    </row>
    <row r="140" spans="1:3" x14ac:dyDescent="0.25">
      <c r="A140" s="30" t="str">
        <f t="shared" si="2"/>
        <v>PL SK</v>
      </c>
      <c r="B140" t="s">
        <v>41</v>
      </c>
      <c r="C140" t="s">
        <v>46</v>
      </c>
    </row>
    <row r="141" spans="1:3" x14ac:dyDescent="0.25">
      <c r="A141" s="30" t="str">
        <f t="shared" si="2"/>
        <v>PL UA</v>
      </c>
      <c r="B141" t="s">
        <v>41</v>
      </c>
      <c r="C141" t="s">
        <v>48</v>
      </c>
    </row>
    <row r="142" spans="1:3" x14ac:dyDescent="0.25">
      <c r="A142" s="30" t="str">
        <f t="shared" si="2"/>
        <v>PT ES</v>
      </c>
      <c r="B142" t="s">
        <v>42</v>
      </c>
      <c r="C142" t="s">
        <v>15</v>
      </c>
    </row>
    <row r="143" spans="1:3" x14ac:dyDescent="0.25">
      <c r="A143" s="30" t="str">
        <f t="shared" si="2"/>
        <v>RO BG</v>
      </c>
      <c r="B143" t="s">
        <v>23</v>
      </c>
      <c r="C143" t="s">
        <v>12</v>
      </c>
    </row>
    <row r="144" spans="1:3" x14ac:dyDescent="0.25">
      <c r="A144" s="30" t="str">
        <f t="shared" si="2"/>
        <v>RO HU</v>
      </c>
      <c r="B144" t="s">
        <v>23</v>
      </c>
      <c r="C144" t="s">
        <v>33</v>
      </c>
    </row>
    <row r="145" spans="1:3" x14ac:dyDescent="0.25">
      <c r="A145" s="30" t="str">
        <f t="shared" si="2"/>
        <v>RO MD</v>
      </c>
      <c r="B145" t="s">
        <v>23</v>
      </c>
      <c r="C145" t="s">
        <v>37</v>
      </c>
    </row>
    <row r="146" spans="1:3" x14ac:dyDescent="0.25">
      <c r="A146" s="30" t="str">
        <f t="shared" si="2"/>
        <v>RO RS</v>
      </c>
      <c r="B146" t="s">
        <v>23</v>
      </c>
      <c r="C146" t="s">
        <v>43</v>
      </c>
    </row>
    <row r="147" spans="1:3" x14ac:dyDescent="0.25">
      <c r="A147" s="30" t="str">
        <f t="shared" si="2"/>
        <v>RS BA</v>
      </c>
      <c r="B147" t="s">
        <v>43</v>
      </c>
      <c r="C147" t="s">
        <v>26</v>
      </c>
    </row>
    <row r="148" spans="1:3" x14ac:dyDescent="0.25">
      <c r="A148" s="30" t="str">
        <f t="shared" si="2"/>
        <v>RS BG</v>
      </c>
      <c r="B148" t="s">
        <v>43</v>
      </c>
      <c r="C148" t="s">
        <v>12</v>
      </c>
    </row>
    <row r="149" spans="1:3" x14ac:dyDescent="0.25">
      <c r="A149" s="30" t="str">
        <f t="shared" si="2"/>
        <v>RS HR</v>
      </c>
      <c r="B149" t="s">
        <v>43</v>
      </c>
      <c r="C149" t="s">
        <v>18</v>
      </c>
    </row>
    <row r="150" spans="1:3" x14ac:dyDescent="0.25">
      <c r="A150" s="30" t="str">
        <f t="shared" si="2"/>
        <v>RS HU</v>
      </c>
      <c r="B150" t="s">
        <v>43</v>
      </c>
      <c r="C150" t="s">
        <v>33</v>
      </c>
    </row>
    <row r="151" spans="1:3" x14ac:dyDescent="0.25">
      <c r="A151" s="30" t="str">
        <f t="shared" si="2"/>
        <v>RS ME</v>
      </c>
      <c r="B151" t="s">
        <v>43</v>
      </c>
      <c r="C151" t="s">
        <v>38</v>
      </c>
    </row>
    <row r="152" spans="1:3" x14ac:dyDescent="0.25">
      <c r="A152" s="30" t="str">
        <f t="shared" si="2"/>
        <v>RS MK</v>
      </c>
      <c r="B152" t="s">
        <v>43</v>
      </c>
      <c r="C152" t="s">
        <v>39</v>
      </c>
    </row>
    <row r="153" spans="1:3" x14ac:dyDescent="0.25">
      <c r="A153" s="30" t="str">
        <f t="shared" si="2"/>
        <v>RS RO</v>
      </c>
      <c r="B153" t="s">
        <v>43</v>
      </c>
      <c r="C153" t="s">
        <v>23</v>
      </c>
    </row>
    <row r="154" spans="1:3" x14ac:dyDescent="0.25">
      <c r="A154" s="30" t="str">
        <f t="shared" si="2"/>
        <v>RS XK</v>
      </c>
      <c r="B154" t="s">
        <v>43</v>
      </c>
      <c r="C154" t="s">
        <v>49</v>
      </c>
    </row>
    <row r="155" spans="1:3" x14ac:dyDescent="0.25">
      <c r="A155" s="30" t="str">
        <f t="shared" si="2"/>
        <v>SE DE</v>
      </c>
      <c r="B155" t="s">
        <v>44</v>
      </c>
      <c r="C155" t="s">
        <v>13</v>
      </c>
    </row>
    <row r="156" spans="1:3" x14ac:dyDescent="0.25">
      <c r="A156" s="30" t="str">
        <f t="shared" si="2"/>
        <v>SE DK</v>
      </c>
      <c r="B156" t="s">
        <v>44</v>
      </c>
      <c r="C156" t="s">
        <v>14</v>
      </c>
    </row>
    <row r="157" spans="1:3" x14ac:dyDescent="0.25">
      <c r="A157" s="30" t="str">
        <f t="shared" si="2"/>
        <v>SE EE</v>
      </c>
      <c r="B157" t="s">
        <v>44</v>
      </c>
      <c r="C157" t="s">
        <v>31</v>
      </c>
    </row>
    <row r="158" spans="1:3" x14ac:dyDescent="0.25">
      <c r="A158" s="30" t="str">
        <f t="shared" si="2"/>
        <v>SE FI</v>
      </c>
      <c r="B158" t="s">
        <v>44</v>
      </c>
      <c r="C158" t="s">
        <v>32</v>
      </c>
    </row>
    <row r="159" spans="1:3" x14ac:dyDescent="0.25">
      <c r="A159" s="30" t="str">
        <f t="shared" si="2"/>
        <v>SE LT</v>
      </c>
      <c r="B159" t="s">
        <v>44</v>
      </c>
      <c r="C159" t="s">
        <v>34</v>
      </c>
    </row>
    <row r="160" spans="1:3" x14ac:dyDescent="0.25">
      <c r="A160" s="30" t="str">
        <f t="shared" si="2"/>
        <v>SE LV</v>
      </c>
      <c r="B160" t="s">
        <v>44</v>
      </c>
      <c r="C160" t="s">
        <v>36</v>
      </c>
    </row>
    <row r="161" spans="1:3" x14ac:dyDescent="0.25">
      <c r="A161" s="30" t="str">
        <f t="shared" si="2"/>
        <v>SE NO</v>
      </c>
      <c r="B161" t="s">
        <v>44</v>
      </c>
      <c r="C161" t="s">
        <v>22</v>
      </c>
    </row>
    <row r="162" spans="1:3" x14ac:dyDescent="0.25">
      <c r="A162" s="30" t="str">
        <f t="shared" si="2"/>
        <v>SE PL</v>
      </c>
      <c r="B162" t="s">
        <v>44</v>
      </c>
      <c r="C162" t="s">
        <v>41</v>
      </c>
    </row>
    <row r="163" spans="1:3" x14ac:dyDescent="0.25">
      <c r="A163" s="30" t="str">
        <f t="shared" si="2"/>
        <v>SI AT</v>
      </c>
      <c r="B163" t="s">
        <v>45</v>
      </c>
      <c r="C163" t="s">
        <v>25</v>
      </c>
    </row>
    <row r="164" spans="1:3" x14ac:dyDescent="0.25">
      <c r="A164" s="30" t="str">
        <f t="shared" si="2"/>
        <v>SI HR</v>
      </c>
      <c r="B164" t="s">
        <v>45</v>
      </c>
      <c r="C164" t="s">
        <v>18</v>
      </c>
    </row>
    <row r="165" spans="1:3" x14ac:dyDescent="0.25">
      <c r="A165" s="30" t="str">
        <f t="shared" si="2"/>
        <v>SI HU</v>
      </c>
      <c r="B165" t="s">
        <v>45</v>
      </c>
      <c r="C165" t="s">
        <v>33</v>
      </c>
    </row>
    <row r="166" spans="1:3" x14ac:dyDescent="0.25">
      <c r="A166" s="30" t="str">
        <f t="shared" si="2"/>
        <v>SK AT</v>
      </c>
      <c r="B166" t="s">
        <v>46</v>
      </c>
      <c r="C166" t="s">
        <v>25</v>
      </c>
    </row>
    <row r="167" spans="1:3" x14ac:dyDescent="0.25">
      <c r="A167" s="30" t="str">
        <f t="shared" si="2"/>
        <v>SK CZ</v>
      </c>
      <c r="B167" t="s">
        <v>46</v>
      </c>
      <c r="C167" t="s">
        <v>30</v>
      </c>
    </row>
    <row r="168" spans="1:3" x14ac:dyDescent="0.25">
      <c r="A168" s="30" t="str">
        <f t="shared" si="2"/>
        <v>SK HU</v>
      </c>
      <c r="B168" t="s">
        <v>46</v>
      </c>
      <c r="C168" t="s">
        <v>33</v>
      </c>
    </row>
    <row r="169" spans="1:3" x14ac:dyDescent="0.25">
      <c r="A169" s="30" t="str">
        <f t="shared" si="2"/>
        <v>SK PL</v>
      </c>
      <c r="B169" t="s">
        <v>46</v>
      </c>
      <c r="C169" t="s">
        <v>41</v>
      </c>
    </row>
    <row r="170" spans="1:3" x14ac:dyDescent="0.25">
      <c r="A170" s="30" t="str">
        <f t="shared" si="2"/>
        <v>SK UA</v>
      </c>
      <c r="B170" t="s">
        <v>46</v>
      </c>
      <c r="C170" t="s">
        <v>48</v>
      </c>
    </row>
    <row r="171" spans="1:3" x14ac:dyDescent="0.25">
      <c r="A171" s="30" t="str">
        <f t="shared" si="2"/>
        <v>TR BG</v>
      </c>
      <c r="B171" t="s">
        <v>47</v>
      </c>
      <c r="C171" t="s">
        <v>12</v>
      </c>
    </row>
    <row r="172" spans="1:3" x14ac:dyDescent="0.25">
      <c r="A172" s="30" t="str">
        <f t="shared" si="2"/>
        <v>TR CY</v>
      </c>
      <c r="B172" t="s">
        <v>47</v>
      </c>
      <c r="C172" t="s">
        <v>29</v>
      </c>
    </row>
    <row r="173" spans="1:3" x14ac:dyDescent="0.25">
      <c r="A173" s="30" t="str">
        <f t="shared" si="2"/>
        <v>TR GR</v>
      </c>
      <c r="B173" t="s">
        <v>47</v>
      </c>
      <c r="C173" t="s">
        <v>17</v>
      </c>
    </row>
    <row r="174" spans="1:3" x14ac:dyDescent="0.25">
      <c r="A174" s="30" t="str">
        <f t="shared" si="2"/>
        <v>TR UA</v>
      </c>
      <c r="B174" t="s">
        <v>47</v>
      </c>
      <c r="C174" t="s">
        <v>48</v>
      </c>
    </row>
    <row r="175" spans="1:3" x14ac:dyDescent="0.25">
      <c r="A175" s="30" t="str">
        <f t="shared" si="2"/>
        <v>UA LT</v>
      </c>
      <c r="B175" t="s">
        <v>48</v>
      </c>
      <c r="C175" t="s">
        <v>34</v>
      </c>
    </row>
    <row r="176" spans="1:3" x14ac:dyDescent="0.25">
      <c r="A176" s="30" t="str">
        <f t="shared" si="2"/>
        <v>UA MD</v>
      </c>
      <c r="B176" t="s">
        <v>48</v>
      </c>
      <c r="C176" t="s">
        <v>37</v>
      </c>
    </row>
    <row r="177" spans="1:3" x14ac:dyDescent="0.25">
      <c r="A177" s="30" t="str">
        <f t="shared" si="2"/>
        <v>UA PL</v>
      </c>
      <c r="B177" t="s">
        <v>48</v>
      </c>
      <c r="C177" t="s">
        <v>41</v>
      </c>
    </row>
    <row r="178" spans="1:3" x14ac:dyDescent="0.25">
      <c r="A178" s="30" t="str">
        <f t="shared" si="2"/>
        <v>UA SK</v>
      </c>
      <c r="B178" t="s">
        <v>48</v>
      </c>
      <c r="C178" t="s">
        <v>46</v>
      </c>
    </row>
    <row r="179" spans="1:3" x14ac:dyDescent="0.25">
      <c r="A179" s="30" t="str">
        <f t="shared" si="2"/>
        <v>UA TR</v>
      </c>
      <c r="B179" t="s">
        <v>48</v>
      </c>
      <c r="C179" t="s">
        <v>47</v>
      </c>
    </row>
    <row r="180" spans="1:3" x14ac:dyDescent="0.25">
      <c r="A180" s="30" t="str">
        <f t="shared" si="2"/>
        <v>UK BE</v>
      </c>
      <c r="B180" t="s">
        <v>24</v>
      </c>
      <c r="C180" t="s">
        <v>27</v>
      </c>
    </row>
    <row r="181" spans="1:3" x14ac:dyDescent="0.25">
      <c r="A181" s="30" t="str">
        <f t="shared" si="2"/>
        <v>UK DK</v>
      </c>
      <c r="B181" t="s">
        <v>24</v>
      </c>
      <c r="C181" t="s">
        <v>14</v>
      </c>
    </row>
    <row r="182" spans="1:3" x14ac:dyDescent="0.25">
      <c r="A182" s="30" t="str">
        <f t="shared" si="2"/>
        <v>UK ES</v>
      </c>
      <c r="B182" t="s">
        <v>24</v>
      </c>
      <c r="C182" t="s">
        <v>15</v>
      </c>
    </row>
    <row r="183" spans="1:3" x14ac:dyDescent="0.25">
      <c r="A183" s="30" t="str">
        <f t="shared" si="2"/>
        <v>UK FR</v>
      </c>
      <c r="B183" t="s">
        <v>24</v>
      </c>
      <c r="C183" t="s">
        <v>16</v>
      </c>
    </row>
    <row r="184" spans="1:3" x14ac:dyDescent="0.25">
      <c r="A184" s="30" t="str">
        <f t="shared" si="2"/>
        <v>UK IE</v>
      </c>
      <c r="B184" t="s">
        <v>24</v>
      </c>
      <c r="C184" t="s">
        <v>19</v>
      </c>
    </row>
    <row r="185" spans="1:3" x14ac:dyDescent="0.25">
      <c r="A185" s="30" t="str">
        <f t="shared" si="2"/>
        <v>UK NL</v>
      </c>
      <c r="B185" t="s">
        <v>24</v>
      </c>
      <c r="C185" t="s">
        <v>21</v>
      </c>
    </row>
    <row r="186" spans="1:3" x14ac:dyDescent="0.25">
      <c r="A186" s="30" t="str">
        <f t="shared" si="2"/>
        <v>UK NO</v>
      </c>
      <c r="B186" t="s">
        <v>24</v>
      </c>
      <c r="C186" t="s">
        <v>22</v>
      </c>
    </row>
    <row r="187" spans="1:3" x14ac:dyDescent="0.25">
      <c r="A187" s="30" t="str">
        <f t="shared" si="2"/>
        <v>XK AL</v>
      </c>
      <c r="B187" t="s">
        <v>49</v>
      </c>
      <c r="C187" t="s">
        <v>11</v>
      </c>
    </row>
    <row r="188" spans="1:3" x14ac:dyDescent="0.25">
      <c r="A188" s="30" t="str">
        <f t="shared" si="2"/>
        <v>XK ME</v>
      </c>
      <c r="B188" t="s">
        <v>49</v>
      </c>
      <c r="C188" t="s">
        <v>38</v>
      </c>
    </row>
    <row r="189" spans="1:3" x14ac:dyDescent="0.25">
      <c r="A189" s="30" t="str">
        <f t="shared" si="2"/>
        <v>XK MK</v>
      </c>
      <c r="B189" t="s">
        <v>49</v>
      </c>
      <c r="C189" t="s">
        <v>39</v>
      </c>
    </row>
    <row r="190" spans="1:3" x14ac:dyDescent="0.25">
      <c r="A190" s="30" t="str">
        <f t="shared" si="2"/>
        <v>XK RS</v>
      </c>
      <c r="B190" t="s">
        <v>49</v>
      </c>
      <c r="C190" t="s">
        <v>43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3CF0052042A124C899DC8656D7661A7" ma:contentTypeVersion="33" ma:contentTypeDescription="Create a new document." ma:contentTypeScope="" ma:versionID="f4f0efdbe57938bd405e046236597867">
  <xsd:schema xmlns:xsd="http://www.w3.org/2001/XMLSchema" xmlns:xs="http://www.w3.org/2001/XMLSchema" xmlns:p="http://schemas.microsoft.com/office/2006/metadata/properties" xmlns:ns2="7fdc0861-d23e-4709-9d68-ef921bbc70c6" xmlns:ns3="b9c4644f-b87d-45e1-ba85-805c3ecc1a60" xmlns:ns4="5f6e3a84-cd39-47d0-8e43-7d027d9185ff" targetNamespace="http://schemas.microsoft.com/office/2006/metadata/properties" ma:root="true" ma:fieldsID="e954ec6f276e606304fa52d35c862fb1" ns2:_="" ns3:_="" ns4:_="">
    <xsd:import namespace="7fdc0861-d23e-4709-9d68-ef921bbc70c6"/>
    <xsd:import namespace="b9c4644f-b87d-45e1-ba85-805c3ecc1a60"/>
    <xsd:import namespace="5f6e3a84-cd39-47d0-8e43-7d027d9185f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4:SharedWithUsers" minOccurs="0"/>
                <xsd:element ref="ns4:SharedWithDetails" minOccurs="0"/>
                <xsd:element ref="ns2:MediaServiceDateTaken"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dc0861-d23e-4709-9d68-ef921bbc70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1220a57-3561-4c6c-81d9-ab175e57252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c4644f-b87d-45e1-ba85-805c3ecc1a6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10ff778a-350f-450e-b832-788273fc7cfc}" ma:internalName="TaxCatchAll" ma:showField="CatchAllData" ma:web="5f6e3a84-cd39-47d0-8e43-7d027d9185f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f6e3a84-cd39-47d0-8e43-7d027d9185ff"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fdc0861-d23e-4709-9d68-ef921bbc70c6">
      <Terms xmlns="http://schemas.microsoft.com/office/infopath/2007/PartnerControls"/>
    </lcf76f155ced4ddcb4097134ff3c332f>
    <TaxCatchAll xmlns="b9c4644f-b87d-45e1-ba85-805c3ecc1a60" xsi:nil="true"/>
  </documentManagement>
</p:properties>
</file>

<file path=customXml/itemProps1.xml><?xml version="1.0" encoding="utf-8"?>
<ds:datastoreItem xmlns:ds="http://schemas.openxmlformats.org/officeDocument/2006/customXml" ds:itemID="{07965CA8-AB36-4C0D-A006-643A74D0B66F}">
  <ds:schemaRefs>
    <ds:schemaRef ds:uri="http://schemas.microsoft.com/sharepoint/v3/contenttype/forms"/>
  </ds:schemaRefs>
</ds:datastoreItem>
</file>

<file path=customXml/itemProps2.xml><?xml version="1.0" encoding="utf-8"?>
<ds:datastoreItem xmlns:ds="http://schemas.openxmlformats.org/officeDocument/2006/customXml" ds:itemID="{CA589B28-D139-4CAE-AA40-16E1DD240C63}"/>
</file>

<file path=customXml/itemProps3.xml><?xml version="1.0" encoding="utf-8"?>
<ds:datastoreItem xmlns:ds="http://schemas.openxmlformats.org/officeDocument/2006/customXml" ds:itemID="{5F16B913-999F-4506-AA64-D049E5F9E2EC}">
  <ds:schemaRefs>
    <ds:schemaRef ds:uri="http://schemas.microsoft.com/office/infopath/2007/PartnerControls"/>
    <ds:schemaRef ds:uri="http://www.w3.org/XML/1998/namespace"/>
    <ds:schemaRef ds:uri="http://purl.org/dc/terms/"/>
    <ds:schemaRef ds:uri="21ac852a-b273-46e6-82bd-4e2ddc77aff7"/>
    <ds:schemaRef ds:uri="http://purl.org/dc/elements/1.1/"/>
    <ds:schemaRef ds:uri="http://schemas.microsoft.com/office/2006/documentManagement/types"/>
    <ds:schemaRef ds:uri="http://schemas.microsoft.com/office/2006/metadata/properties"/>
    <ds:schemaRef ds:uri="http://schemas.openxmlformats.org/package/2006/metadata/core-properties"/>
    <ds:schemaRef ds:uri="59a4dec4-b88c-4d00-a12c-41c2e6ba5fcd"/>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Info</vt:lpstr>
      <vt:lpstr>CO2_netw_links_and_costs_panEU</vt:lpstr>
      <vt:lpstr>CO2_netw_links_and_costs_IC1</vt:lpstr>
      <vt:lpstr>shipping_costs</vt:lpstr>
      <vt:lpstr>storage_costs</vt:lpstr>
      <vt:lpstr>pipeline_costs</vt:lpstr>
      <vt:lpstr>X_Y_CO2_harbor_hubs</vt:lpstr>
      <vt:lpstr>X_Y_offshore_storage_hub</vt:lpstr>
      <vt:lpstr>neighbors_cargo_data</vt:lpstr>
      <vt:lpstr>CO2_harbor_hubs</vt:lpstr>
      <vt:lpstr>exchange_rate_USD25_EUR25</vt:lpstr>
      <vt:lpstr>per_ton_offshore_storage_costs</vt:lpstr>
      <vt:lpstr>per_ton_onshore_storage_costs</vt:lpstr>
      <vt:lpstr>pipe_a</vt:lpstr>
      <vt:lpstr>pipe_b</vt:lpstr>
      <vt:lpstr>ship_a</vt:lpstr>
      <vt:lpstr>ship_b</vt:lpstr>
      <vt:lpstr>Threshold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Hout, van Marit</dc:creator>
  <cp:lastModifiedBy>Hout, van Marit</cp:lastModifiedBy>
  <dcterms:created xsi:type="dcterms:W3CDTF">2026-09-07T08:27:52Z</dcterms:created>
  <dcterms:modified xsi:type="dcterms:W3CDTF">2026-09-22T16:40:06Z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0x01010073CF0052042A124C899DC8656D7661A7</vt:lpwstr>
  </property>
</Properties>
</file>